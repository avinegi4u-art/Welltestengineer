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autoCompressPictures="0"/>
  <mc:AlternateContent xmlns:mc="http://schemas.openxmlformats.org/markup-compatibility/2006">
    <mc:Choice Requires="x15">
      <x15ac:absPath xmlns:x15ac="http://schemas.microsoft.com/office/spreadsheetml/2010/11/ac" url="C:\Users\H141228\OneDrive - Halliburton\Documents\DST JOBS\GD Chetna 2023\DST 2\BHA\"/>
    </mc:Choice>
  </mc:AlternateContent>
  <xr:revisionPtr revIDLastSave="0" documentId="13_ncr:1_{4F0A695E-C28E-4A77-8A6F-8E2FF716D4AD}" xr6:coauthVersionLast="47" xr6:coauthVersionMax="47" xr10:uidLastSave="{00000000-0000-0000-0000-000000000000}"/>
  <bookViews>
    <workbookView xWindow="-108" yWindow="-108" windowWidth="23256" windowHeight="12720" xr2:uid="{00000000-000D-0000-FFFF-FFFF00000000}"/>
  </bookViews>
  <sheets>
    <sheet name="DST-2 -XHP Packer" sheetId="1" r:id="rId1"/>
    <sheet name="DST-2  Calc 17.2 ppg" sheetId="2" r:id="rId2"/>
  </sheets>
  <externalReferences>
    <externalReference r:id="rId3"/>
    <externalReference r:id="rId4"/>
  </externalReferences>
  <definedNames>
    <definedName name="bhp">#REF!</definedName>
    <definedName name="bht">#REF!</definedName>
    <definedName name="Clear_Joblog">#REF!</definedName>
    <definedName name="csg">'[1]ATS Report'!#REF!</definedName>
    <definedName name="delete" localSheetId="1">'DST-2  Calc 17.2 ppg'!delete</definedName>
    <definedName name="delete">[0]!delete</definedName>
    <definedName name="Delete_Comment">#REF!</definedName>
    <definedName name="Final_Joblog">#REF!</definedName>
    <definedName name="gas_cumm">'[1]ATS Report'!#REF!</definedName>
    <definedName name="gas_time">#REF!</definedName>
    <definedName name="gasrate">'[1]ATS Report'!#REF!</definedName>
    <definedName name="gor">'[1]ATS Report'!#REF!</definedName>
    <definedName name="Insert_Comment">#REF!</definedName>
    <definedName name="ogr">'[2]Test Data'!$T$8:$T$16,'[2]Test Data'!$T$18:$T$122,'[2]Test Data'!$T$132:$T$247</definedName>
    <definedName name="oil_cumm">'[1]ATS Report'!#REF!</definedName>
    <definedName name="oilrate">'[1]ATS Report'!#REF!</definedName>
    <definedName name="_xlnm.Print_Area" localSheetId="1">'DST-2  Calc 17.2 ppg'!$A$1:$O$112</definedName>
    <definedName name="_xlnm.Print_Area" localSheetId="0">'DST-2 -XHP Packer'!$B$2:$V$95</definedName>
    <definedName name="_xlnm.Recorder">#REF!</definedName>
    <definedName name="salinity">'[1]ATS Report'!#REF!</definedName>
    <definedName name="sep_press">'[1]ATS Report'!#REF!</definedName>
    <definedName name="sep_temp">'[1]ATS Report'!#REF!</definedName>
    <definedName name="Set_LOCK_OFF">#REF!</definedName>
    <definedName name="Set_WTR_RATE">#REF!</definedName>
    <definedName name="ShowDialog" localSheetId="1">'DST-2  Calc 17.2 ppg'!ShowDialog</definedName>
    <definedName name="ShowDialog">[0]!ShowDialog</definedName>
    <definedName name="SORT">#REF!</definedName>
    <definedName name="wtr_cumm">'[1]ATS Report'!#REF!</definedName>
    <definedName name="wtr_rate">'[1]ATS Report'!#REF!</definedName>
    <definedName name="Z_835CE0A4_E816_4BB0_AFB6_98F0F78177CA_.wvu.Cols" localSheetId="0" hidden="1">'DST-2 -XHP Packer'!$S:$T</definedName>
    <definedName name="Z_835CE0A4_E816_4BB0_AFB6_98F0F78177CA_.wvu.PrintArea" localSheetId="0" hidden="1">'DST-2 -XHP Packer'!$B$2:$V$94</definedName>
    <definedName name="Z_835CE0A4_E816_4BB0_AFB6_98F0F78177CA_.wvu.Rows" localSheetId="0" hidden="1">'DST-2 -XHP Packer'!#REF!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95" i="2" l="1"/>
  <c r="F94" i="2"/>
  <c r="U28" i="1"/>
  <c r="U31" i="1" l="1"/>
  <c r="U30" i="1"/>
  <c r="U29" i="1"/>
  <c r="N8" i="2" l="1"/>
  <c r="Q84" i="1" l="1"/>
  <c r="Q83" i="1" s="1"/>
  <c r="Q82" i="1" s="1"/>
  <c r="Q81" i="1" s="1"/>
  <c r="Q80" i="1" s="1"/>
  <c r="R80" i="1" s="1"/>
  <c r="F91" i="2"/>
  <c r="Q79" i="1" l="1"/>
  <c r="Q78" i="1" l="1"/>
  <c r="R79" i="1"/>
  <c r="F60" i="2"/>
  <c r="E6" i="2"/>
  <c r="R78" i="1" l="1"/>
  <c r="Q77" i="1"/>
  <c r="U64" i="1"/>
  <c r="U26" i="1"/>
  <c r="U27" i="1"/>
  <c r="U41" i="1"/>
  <c r="U8" i="1"/>
  <c r="U9" i="1"/>
  <c r="U10" i="1"/>
  <c r="U11" i="1"/>
  <c r="U12" i="1"/>
  <c r="U13" i="1"/>
  <c r="U14" i="1"/>
  <c r="U15" i="1"/>
  <c r="U16" i="1"/>
  <c r="U17" i="1"/>
  <c r="U18" i="1"/>
  <c r="U19" i="1"/>
  <c r="U20" i="1"/>
  <c r="U21" i="1"/>
  <c r="U22" i="1"/>
  <c r="U23" i="1"/>
  <c r="U24" i="1"/>
  <c r="U25" i="1"/>
  <c r="U33" i="1"/>
  <c r="U34" i="1"/>
  <c r="U35" i="1"/>
  <c r="U36" i="1"/>
  <c r="U37" i="1"/>
  <c r="U38" i="1"/>
  <c r="U39" i="1"/>
  <c r="U40" i="1"/>
  <c r="U42" i="1"/>
  <c r="U43" i="1"/>
  <c r="U44" i="1"/>
  <c r="U45" i="1"/>
  <c r="U46" i="1"/>
  <c r="U47" i="1"/>
  <c r="U48" i="1"/>
  <c r="U49" i="1"/>
  <c r="U50" i="1"/>
  <c r="U51" i="1"/>
  <c r="U52" i="1"/>
  <c r="U53" i="1"/>
  <c r="U54" i="1"/>
  <c r="U55" i="1"/>
  <c r="U56" i="1"/>
  <c r="U57" i="1"/>
  <c r="U58" i="1"/>
  <c r="U59" i="1"/>
  <c r="U60" i="1"/>
  <c r="U61" i="1"/>
  <c r="U62" i="1"/>
  <c r="U63" i="1"/>
  <c r="U65" i="1"/>
  <c r="U66" i="1"/>
  <c r="U67" i="1"/>
  <c r="F107" i="2"/>
  <c r="F68" i="2"/>
  <c r="L91" i="1"/>
  <c r="U7" i="1"/>
  <c r="V7" i="1" s="1"/>
  <c r="F93" i="2"/>
  <c r="F104" i="2"/>
  <c r="H49" i="2"/>
  <c r="F49" i="2"/>
  <c r="H29" i="2"/>
  <c r="H32" i="2" s="1"/>
  <c r="I33" i="2"/>
  <c r="F29" i="2"/>
  <c r="G33" i="2" s="1"/>
  <c r="F32" i="2"/>
  <c r="R77" i="1" l="1"/>
  <c r="Q76" i="1"/>
  <c r="F33" i="2"/>
  <c r="H33" i="2"/>
  <c r="R84" i="1"/>
  <c r="R86" i="1"/>
  <c r="V8" i="1"/>
  <c r="V9" i="1" s="1"/>
  <c r="V10" i="1" s="1"/>
  <c r="V11" i="1" s="1"/>
  <c r="V12" i="1" s="1"/>
  <c r="V13" i="1" s="1"/>
  <c r="V14" i="1" s="1"/>
  <c r="V15" i="1" s="1"/>
  <c r="V16" i="1" s="1"/>
  <c r="V17" i="1" s="1"/>
  <c r="V18" i="1" s="1"/>
  <c r="V19" i="1" s="1"/>
  <c r="V20" i="1" s="1"/>
  <c r="V21" i="1" s="1"/>
  <c r="V22" i="1" s="1"/>
  <c r="V23" i="1" s="1"/>
  <c r="V24" i="1" s="1"/>
  <c r="V25" i="1" s="1"/>
  <c r="V26" i="1" s="1"/>
  <c r="V27" i="1" l="1"/>
  <c r="V29" i="1" s="1"/>
  <c r="V30" i="1" s="1"/>
  <c r="V31" i="1" s="1"/>
  <c r="V28" i="1"/>
  <c r="R76" i="1"/>
  <c r="Q75" i="1"/>
  <c r="R83" i="1"/>
  <c r="Q74" i="1" l="1"/>
  <c r="R75" i="1"/>
  <c r="R74" i="1" l="1"/>
  <c r="Q73" i="1"/>
  <c r="R73" i="1" l="1"/>
  <c r="Q72" i="1"/>
  <c r="R72" i="1" l="1"/>
  <c r="Q71" i="1"/>
  <c r="Q70" i="1" l="1"/>
  <c r="R71" i="1"/>
  <c r="R70" i="1" l="1"/>
  <c r="Q69" i="1"/>
  <c r="Q68" i="1" l="1"/>
  <c r="R69" i="1"/>
  <c r="Q67" i="1" l="1"/>
  <c r="R68" i="1"/>
  <c r="Q66" i="1" l="1"/>
  <c r="R67" i="1"/>
  <c r="Q65" i="1" l="1"/>
  <c r="R66" i="1"/>
  <c r="Q64" i="1" l="1"/>
  <c r="R65" i="1"/>
  <c r="R64" i="1" l="1"/>
  <c r="Q63" i="1"/>
  <c r="R63" i="1" l="1"/>
  <c r="Q62" i="1"/>
  <c r="R62" i="1" l="1"/>
  <c r="Q61" i="1"/>
  <c r="R61" i="1" l="1"/>
  <c r="T61" i="1" s="1"/>
  <c r="Q60" i="1"/>
  <c r="R60" i="1" l="1"/>
  <c r="T60" i="1" s="1"/>
  <c r="Q59" i="1"/>
  <c r="Q58" i="1" s="1"/>
  <c r="R59" i="1" l="1"/>
  <c r="T59" i="1" s="1"/>
  <c r="R58" i="1" l="1"/>
  <c r="Q57" i="1"/>
  <c r="Q56" i="1" l="1"/>
  <c r="R57" i="1"/>
  <c r="T57" i="1" s="1"/>
  <c r="I92" i="1"/>
  <c r="F96" i="2"/>
  <c r="T58" i="1"/>
  <c r="Q55" i="1" l="1"/>
  <c r="F69" i="2" s="1"/>
  <c r="R56" i="1"/>
  <c r="T56" i="1" s="1"/>
  <c r="R55" i="1" l="1"/>
  <c r="Q54" i="1"/>
  <c r="Q53" i="1" l="1"/>
  <c r="R54" i="1"/>
  <c r="T54" i="1" s="1"/>
  <c r="R53" i="1" l="1"/>
  <c r="Q52" i="1"/>
  <c r="Q51" i="1" l="1"/>
  <c r="R52" i="1"/>
  <c r="T52" i="1" s="1"/>
  <c r="T53" i="1"/>
  <c r="F61" i="2"/>
  <c r="F62" i="2" s="1"/>
  <c r="R51" i="1" l="1"/>
  <c r="T51" i="1" s="1"/>
  <c r="Q50" i="1"/>
  <c r="R50" i="1" l="1"/>
  <c r="T50" i="1" s="1"/>
  <c r="Q49" i="1"/>
  <c r="R49" i="1" l="1"/>
  <c r="T49" i="1" s="1"/>
  <c r="Q48" i="1"/>
  <c r="F70" i="2"/>
  <c r="Q47" i="1" l="1"/>
  <c r="R48" i="1"/>
  <c r="G74" i="2"/>
  <c r="F74" i="2"/>
  <c r="F73" i="2"/>
  <c r="T48" i="1" l="1"/>
  <c r="F37" i="2"/>
  <c r="F38" i="2" s="1"/>
  <c r="Q46" i="1"/>
  <c r="R47" i="1"/>
  <c r="T47" i="1" s="1"/>
  <c r="R46" i="1" l="1"/>
  <c r="T46" i="1" s="1"/>
  <c r="Q45" i="1"/>
  <c r="Q44" i="1" l="1"/>
  <c r="R45" i="1"/>
  <c r="F16" i="2" s="1"/>
  <c r="F17" i="2" l="1"/>
  <c r="T45" i="1"/>
  <c r="R44" i="1"/>
  <c r="T44" i="1" s="1"/>
  <c r="Q43" i="1"/>
  <c r="G21" i="2" l="1"/>
  <c r="F21" i="2"/>
  <c r="F20" i="2"/>
  <c r="R43" i="1"/>
  <c r="T43" i="1" s="1"/>
  <c r="Q42" i="1"/>
  <c r="R42" i="1" l="1"/>
  <c r="Q41" i="1"/>
  <c r="Q40" i="1" l="1"/>
  <c r="R41" i="1"/>
  <c r="Q39" i="1" l="1"/>
  <c r="R40" i="1"/>
  <c r="Q38" i="1" l="1"/>
  <c r="R39" i="1"/>
  <c r="Q37" i="1" l="1"/>
  <c r="R38" i="1"/>
  <c r="Q36" i="1" l="1"/>
  <c r="R37" i="1"/>
  <c r="R36" i="1" l="1"/>
  <c r="Q35" i="1"/>
  <c r="R35" i="1" l="1"/>
  <c r="T35" i="1" s="1"/>
  <c r="Q34" i="1"/>
  <c r="Q33" i="1" l="1"/>
  <c r="R34" i="1"/>
  <c r="T34" i="1" s="1"/>
  <c r="R33" i="1" l="1"/>
  <c r="U32" i="1"/>
  <c r="V32" i="1" s="1"/>
  <c r="V33" i="1" s="1"/>
  <c r="V34" i="1" s="1"/>
  <c r="V35" i="1" s="1"/>
  <c r="V36" i="1" s="1"/>
  <c r="V37" i="1" s="1"/>
  <c r="V38" i="1" s="1"/>
  <c r="V39" i="1" s="1"/>
  <c r="V40" i="1" s="1"/>
  <c r="V41" i="1" s="1"/>
  <c r="V42" i="1" s="1"/>
  <c r="V43" i="1" s="1"/>
  <c r="V44" i="1" s="1"/>
  <c r="V45" i="1" s="1"/>
  <c r="V46" i="1" s="1"/>
  <c r="V47" i="1" s="1"/>
  <c r="V48" i="1" s="1"/>
  <c r="V49" i="1" s="1"/>
  <c r="V50" i="1" s="1"/>
  <c r="V51" i="1" s="1"/>
  <c r="V52" i="1" s="1"/>
  <c r="V53" i="1" s="1"/>
  <c r="V54" i="1" s="1"/>
  <c r="V55" i="1" s="1"/>
  <c r="V56" i="1" s="1"/>
  <c r="V57" i="1" s="1"/>
  <c r="V58" i="1" s="1"/>
  <c r="V59" i="1" s="1"/>
  <c r="V60" i="1" s="1"/>
  <c r="V61" i="1" s="1"/>
  <c r="V62" i="1" s="1"/>
  <c r="V63" i="1" s="1"/>
  <c r="V64" i="1" s="1"/>
  <c r="V65" i="1" s="1"/>
  <c r="V66" i="1" s="1"/>
  <c r="V67" i="1" s="1"/>
  <c r="Q32" i="1"/>
  <c r="R32" i="1" s="1"/>
  <c r="T32" i="1" s="1"/>
  <c r="F106" i="2"/>
  <c r="F109" i="2" s="1"/>
  <c r="F111" i="2" s="1"/>
  <c r="Q31" i="1" l="1"/>
  <c r="Q30" i="1" l="1"/>
  <c r="R31" i="1"/>
  <c r="Q29" i="1" l="1"/>
  <c r="R30" i="1"/>
  <c r="Q28" i="1" l="1"/>
  <c r="R29" i="1"/>
  <c r="R28" i="1" l="1"/>
  <c r="Q27" i="1"/>
  <c r="R27" i="1" l="1"/>
  <c r="T27" i="1" s="1"/>
  <c r="Q26" i="1"/>
  <c r="R26" i="1" l="1"/>
  <c r="T26" i="1" s="1"/>
  <c r="Q25" i="1"/>
  <c r="R25" i="1" l="1"/>
  <c r="T25" i="1" s="1"/>
  <c r="Q24" i="1"/>
  <c r="Q23" i="1" l="1"/>
  <c r="R24" i="1"/>
  <c r="T24" i="1" s="1"/>
  <c r="R23" i="1" l="1"/>
  <c r="Q22" i="1"/>
  <c r="R22" i="1" l="1"/>
  <c r="Q21" i="1"/>
  <c r="R21" i="1" l="1"/>
  <c r="Q20" i="1"/>
  <c r="Q19" i="1" l="1"/>
  <c r="R20" i="1"/>
  <c r="R19" i="1" l="1"/>
  <c r="Q18" i="1"/>
  <c r="R18" i="1" l="1"/>
  <c r="Q17" i="1"/>
  <c r="Q16" i="1" l="1"/>
  <c r="R17" i="1"/>
  <c r="Q15" i="1" l="1"/>
  <c r="R16" i="1"/>
  <c r="R15" i="1" l="1"/>
  <c r="Q14" i="1"/>
  <c r="Q13" i="1" l="1"/>
  <c r="R14" i="1"/>
  <c r="Q12" i="1" l="1"/>
  <c r="R13" i="1"/>
  <c r="T13" i="1" s="1"/>
  <c r="R12" i="1" l="1"/>
  <c r="Q11" i="1"/>
  <c r="Q10" i="1" l="1"/>
  <c r="R11" i="1"/>
  <c r="Q9" i="1" l="1"/>
  <c r="R10" i="1"/>
  <c r="Q8" i="1" l="1"/>
  <c r="R9" i="1"/>
  <c r="R8" i="1" l="1"/>
  <c r="Q7" i="1"/>
  <c r="R7" i="1" s="1"/>
</calcChain>
</file>

<file path=xl/sharedStrings.xml><?xml version="1.0" encoding="utf-8"?>
<sst xmlns="http://schemas.openxmlformats.org/spreadsheetml/2006/main" count="537" uniqueCount="266">
  <si>
    <t>CUSTOMER:</t>
  </si>
  <si>
    <t>ONGC</t>
  </si>
  <si>
    <t>TEST:</t>
  </si>
  <si>
    <t>VERSION:</t>
  </si>
  <si>
    <t>WELL NAME:</t>
  </si>
  <si>
    <t>RIG:</t>
  </si>
  <si>
    <t>GD Chetna</t>
  </si>
  <si>
    <t>FORMATION:</t>
  </si>
  <si>
    <t>DATE:</t>
  </si>
  <si>
    <t>COMPANY</t>
  </si>
  <si>
    <t>BOX</t>
  </si>
  <si>
    <t>PIN</t>
  </si>
  <si>
    <t>OD (in)</t>
  </si>
  <si>
    <t>ID (in)</t>
  </si>
  <si>
    <t>Length (m)</t>
  </si>
  <si>
    <t>Bottom Of Tool MD (Mtr)</t>
  </si>
  <si>
    <t>Hydrostatic With 11.6 ppg</t>
  </si>
  <si>
    <t>Volume</t>
  </si>
  <si>
    <t>X-over 7" Bowen BOX X 5-3/4" SA PIN</t>
  </si>
  <si>
    <t>EXPRO</t>
  </si>
  <si>
    <t>7" Bowen</t>
  </si>
  <si>
    <t>5 3/4" SA Pin</t>
  </si>
  <si>
    <t>HANDLING SUB</t>
  </si>
  <si>
    <t>5-3/4" SA Box</t>
  </si>
  <si>
    <t>5-3/4" SA Pin</t>
  </si>
  <si>
    <t>N/A</t>
  </si>
  <si>
    <t xml:space="preserve">PRESSURE BALANCED SWIVEL </t>
  </si>
  <si>
    <t>5-3/4" SA PIN</t>
  </si>
  <si>
    <t>Saver Sub</t>
  </si>
  <si>
    <t>5-3/4" SA BOX</t>
  </si>
  <si>
    <t>Stiff Joint Expro</t>
  </si>
  <si>
    <t>RKB</t>
  </si>
  <si>
    <t>HAL</t>
  </si>
  <si>
    <t>3 7/8'' CAS</t>
  </si>
  <si>
    <t>Top</t>
  </si>
  <si>
    <t>Bottom</t>
  </si>
  <si>
    <t>RM Slip Joint / Open</t>
  </si>
  <si>
    <t xml:space="preserve"> 3-7/8 CAS P</t>
  </si>
  <si>
    <t>3 7/8 CAS B</t>
  </si>
  <si>
    <t>3 7/8 CAS P</t>
  </si>
  <si>
    <t xml:space="preserve">RD Safety Circ.Valve                                                                                            </t>
  </si>
  <si>
    <t xml:space="preserve">Sleeve Type Drain Valve </t>
  </si>
  <si>
    <t>SAVER SUB - 3-7/8'' CAS B X 3 7/8'' CAS P</t>
  </si>
  <si>
    <t>Flow Tube- 3-7/8'' CAS B X 3 7/8'' CAS P</t>
  </si>
  <si>
    <t>SAVER SUB- 3-7/8'' CAS B X 3 7/8'' CAS P</t>
  </si>
  <si>
    <t>RD Circulating Valve</t>
  </si>
  <si>
    <t xml:space="preserve">DYNASTRING GAUGE  CARRIER </t>
  </si>
  <si>
    <t xml:space="preserve">RDTST Valve </t>
  </si>
  <si>
    <t>Safety Joint ( 60 K Tension Sleeve)</t>
  </si>
  <si>
    <t>3-7/8" CAS</t>
  </si>
  <si>
    <t xml:space="preserve">7" XHP CHAMP-V Packer (Top to Center of  Packer) </t>
  </si>
  <si>
    <t>3 7/8" CAS</t>
  </si>
  <si>
    <t>X-OVER 3 7/8" CAS B X 3-1/2" IF P</t>
  </si>
  <si>
    <t>3-1/2" IF</t>
  </si>
  <si>
    <t>Vertical Shock Absorber</t>
  </si>
  <si>
    <t>X-OVER 3 1/2" IF BOX X 2-7/8" EUE PIN</t>
  </si>
  <si>
    <t>2 -7/8" EUE</t>
  </si>
  <si>
    <t>FILL DISC ASSEMBLY</t>
  </si>
  <si>
    <t>HLS</t>
  </si>
  <si>
    <t>2 7/8" EUE</t>
  </si>
  <si>
    <t>BIT /FILL DISC ASSEMBLY</t>
  </si>
  <si>
    <t>2.813" 6 P ACME</t>
  </si>
  <si>
    <t>2.813" 6 P ACME Pin</t>
  </si>
  <si>
    <t xml:space="preserve">3.938" 6P ACME </t>
  </si>
  <si>
    <t>3.938" 6P ACME</t>
  </si>
  <si>
    <t>2-7/8" EUE</t>
  </si>
  <si>
    <t>PORTED BULL PLUG</t>
  </si>
  <si>
    <t>End Of BHA</t>
  </si>
  <si>
    <t>Bottom Hole Assembly</t>
  </si>
  <si>
    <t>Type of test</t>
  </si>
  <si>
    <t>CASED HOLE DST</t>
  </si>
  <si>
    <t>Cushion Type</t>
  </si>
  <si>
    <t>ONGC Prod Engineer</t>
  </si>
  <si>
    <t>DST</t>
  </si>
  <si>
    <t>Kill Fluid</t>
  </si>
  <si>
    <t>Critical Values</t>
  </si>
  <si>
    <t>Brine weight @ Tools</t>
  </si>
  <si>
    <t>Well Test Supervisor</t>
  </si>
  <si>
    <t>Wear Bushing</t>
  </si>
  <si>
    <t>Hermetical Test</t>
  </si>
  <si>
    <t>DST Specialist</t>
  </si>
  <si>
    <t>Casing Collars</t>
  </si>
  <si>
    <t>WF Bouyancy  Factor</t>
  </si>
  <si>
    <t>Ctr PKR element</t>
  </si>
  <si>
    <t>Exp Formation Pressure</t>
  </si>
  <si>
    <t>Perf. Intervals</t>
  </si>
  <si>
    <t>Est. BHT @ Tools STV *F</t>
  </si>
  <si>
    <t>TCP Specialist</t>
  </si>
  <si>
    <t>7'' LT / @ MD Mtr</t>
  </si>
  <si>
    <t>7'' LC / PBTD @ MD Mtr</t>
  </si>
  <si>
    <t>PREPARED BY</t>
  </si>
  <si>
    <t>VERSION</t>
  </si>
  <si>
    <t>DATE</t>
  </si>
  <si>
    <t>ONGC  - Offshore</t>
  </si>
  <si>
    <t>START DATE</t>
  </si>
  <si>
    <t>WELL NAME</t>
  </si>
  <si>
    <t>LOCATION</t>
  </si>
  <si>
    <t>Offshore</t>
  </si>
  <si>
    <t>CLIENT</t>
  </si>
  <si>
    <t>FIELD / LEASE</t>
  </si>
  <si>
    <t>RIG TYPE</t>
  </si>
  <si>
    <t>Jack Up</t>
  </si>
  <si>
    <t>RIG NAME</t>
  </si>
  <si>
    <t>Kill FLUID</t>
  </si>
  <si>
    <t xml:space="preserve">JOB </t>
  </si>
  <si>
    <t>SURFACE TEMPERATURE</t>
  </si>
  <si>
    <t>DOWNHOLE TEMPERATURE</t>
  </si>
  <si>
    <t>FLUID DENSITY</t>
  </si>
  <si>
    <t>CASING LIMIT</t>
  </si>
  <si>
    <t xml:space="preserve">RD SAFETY CIRCULATING VALVE  </t>
  </si>
  <si>
    <t>Notes:</t>
  </si>
  <si>
    <t xml:space="preserve">Fluid Weight Used ( ppg ) </t>
  </si>
  <si>
    <t xml:space="preserve">Tool Depth TVD ( Mtr ) </t>
  </si>
  <si>
    <t>Hydrostatic Pressure ( Psi)</t>
  </si>
  <si>
    <t>Rupture Disk Burst Value ( Psi )</t>
  </si>
  <si>
    <t>Temperature Corrected (Psi)</t>
  </si>
  <si>
    <t>Surface operating pressure(Psi)</t>
  </si>
  <si>
    <t>2% High | 2% Low (Psi)</t>
  </si>
  <si>
    <t>RD TST Tubing Tester Valve - 4 PINS:</t>
  </si>
  <si>
    <t>Bottom Hole Temp ( Deg F )  :</t>
  </si>
  <si>
    <t>Fluid Weight Used ( #g )  :</t>
  </si>
  <si>
    <t>Tool Depth TVD ( Mtr )  :</t>
  </si>
  <si>
    <t>Hydrostatic Pressure ( Psi):</t>
  </si>
  <si>
    <t>Rupture Disk Burst Value ( Psi )  :</t>
  </si>
  <si>
    <t>Temperature Correted (Psi):</t>
  </si>
  <si>
    <t>Surface operating pressure(Psi):</t>
  </si>
  <si>
    <t>2% High / 2% Low (Psi):</t>
  </si>
  <si>
    <t xml:space="preserve">OMNI CIRCULATING VALVE - DOUBLE CHAMBER </t>
  </si>
  <si>
    <t>Fluid Weight Used ( ppg )  :</t>
  </si>
  <si>
    <t>Nitrogen Charge Pressure( Psi):</t>
  </si>
  <si>
    <t>Piston Position Results - Operating:</t>
  </si>
  <si>
    <t>Tool Run Positon:</t>
  </si>
  <si>
    <t>Well Test</t>
  </si>
  <si>
    <t>SELECT Tester Valve</t>
  </si>
  <si>
    <t>Lock Open Operation Pressure (Psi):</t>
  </si>
  <si>
    <t>LOCK Open</t>
  </si>
  <si>
    <t>Metering Plug Set Up:</t>
  </si>
  <si>
    <t>11-14 K PSI</t>
  </si>
  <si>
    <t>XOX</t>
  </si>
  <si>
    <t>:</t>
  </si>
  <si>
    <t>LOCK/UNLOCK operating pressure(Psi):</t>
  </si>
  <si>
    <t>Metering Plug Setting:</t>
  </si>
  <si>
    <t>RD CIRCULATING VALVE</t>
  </si>
  <si>
    <t>Temperature Corrected (Psi):</t>
  </si>
  <si>
    <t>RDTST  VALVE</t>
  </si>
  <si>
    <t>Rupture Disk Value</t>
  </si>
  <si>
    <t>7" XHP  Champ V Packer - Weight on Packer</t>
  </si>
  <si>
    <t>Tubing Length ( Mtr )  :</t>
  </si>
  <si>
    <t>Tubing Poundage ( ppf ):</t>
  </si>
  <si>
    <t>Fluid Boyouncy   :</t>
  </si>
  <si>
    <t>Weight on Packer ( Ibs ) :</t>
  </si>
  <si>
    <t xml:space="preserve">                                                             Fluid Weight :</t>
  </si>
  <si>
    <t xml:space="preserve">                       Tool Max Pressure ( psi )  :</t>
  </si>
  <si>
    <t xml:space="preserve">                                      Force Up ( Ibs ) : </t>
  </si>
  <si>
    <t xml:space="preserve">                                 Tubing Length ( Mtr ):</t>
  </si>
  <si>
    <t xml:space="preserve">                                    Boyouncy Factor :</t>
  </si>
  <si>
    <t xml:space="preserve">                           Tubing Poundage ( ppf ) :</t>
  </si>
  <si>
    <t xml:space="preserve">                                 Force down ( Ibs ) =</t>
  </si>
  <si>
    <t>TOP Sub + Blank Gun</t>
  </si>
  <si>
    <t>X-Over 5-3/4" SA PIN X 5-3/4" SA PIN</t>
  </si>
  <si>
    <t xml:space="preserve">3-1/2 VAS </t>
  </si>
  <si>
    <t>SSV Handling Sub</t>
  </si>
  <si>
    <t>5- 3/4" SA Box</t>
  </si>
  <si>
    <t>5 " SA PIN</t>
  </si>
  <si>
    <t xml:space="preserve">SSV Top to Center of Ramlock 5" OD  </t>
  </si>
  <si>
    <t>5 " SA BOX</t>
  </si>
  <si>
    <t>5 3/4"  SA Box</t>
  </si>
  <si>
    <t>Slip Joint Force Calculation</t>
  </si>
  <si>
    <t xml:space="preserve">                          Effective Area ( insq )  :</t>
  </si>
  <si>
    <t>Weight Required ( lbs)</t>
  </si>
  <si>
    <t>X-Over 5-3/4" SA BOX X 5-3/4" BOX</t>
  </si>
  <si>
    <t xml:space="preserve"> RDTST will be operate on surface prior Closing STV ball for fill up Diesel &amp; pressure testing while RIH.</t>
  </si>
  <si>
    <t>X-OVER 3-1/2" VAS #15.5 PPF B X 3 -7/8 CAS P</t>
  </si>
  <si>
    <t>5" 4 ACME BOX</t>
  </si>
  <si>
    <t>Select Tester Valve                                                           High Pressure  Metering Cartridge</t>
  </si>
  <si>
    <t xml:space="preserve"> O/P = 1400 psi</t>
  </si>
  <si>
    <t>5" 4 ACME PIN</t>
  </si>
  <si>
    <t xml:space="preserve">5 3/4"  SA PIN </t>
  </si>
  <si>
    <t>4-1/2 BGT-1 PIN</t>
  </si>
  <si>
    <t>X-Over X 4-1/2 BGT-2  PIN X  5-3/4" SABOX</t>
  </si>
  <si>
    <t>X-Over  5-3/4" SA BOX 4-1/2  BGT-2  PIN</t>
  </si>
  <si>
    <t>4-1/2 BGT-2 PIN</t>
  </si>
  <si>
    <t>4-1/2 BGT-2 BOX</t>
  </si>
  <si>
    <r>
      <t xml:space="preserve">90.0 </t>
    </r>
    <r>
      <rPr>
        <sz val="12"/>
        <rFont val="Calibri"/>
        <family val="2"/>
      </rPr>
      <t>⁰</t>
    </r>
    <r>
      <rPr>
        <sz val="12"/>
        <rFont val="Arial"/>
        <family val="2"/>
      </rPr>
      <t>F</t>
    </r>
  </si>
  <si>
    <t xml:space="preserve"> Top Sub</t>
  </si>
  <si>
    <t>X-OVER 3-1/2" VAS B #15.5 PPF B X 3 -7/8 CAS P</t>
  </si>
  <si>
    <t xml:space="preserve">Packer Depth </t>
  </si>
  <si>
    <t xml:space="preserve">Pup Joint 4-1/2 # 23.7 PPF  BGT -2 ( BOX-X BOX) </t>
  </si>
  <si>
    <t>Avinash Negi</t>
  </si>
  <si>
    <t xml:space="preserve">2 -7/8" EUE </t>
  </si>
  <si>
    <t xml:space="preserve">RM Slip Joint / Open </t>
  </si>
  <si>
    <t>6.7 ppg Diesel</t>
  </si>
  <si>
    <t xml:space="preserve">Flow Head weight </t>
  </si>
  <si>
    <t>Flow Head weight (lbs)=</t>
  </si>
  <si>
    <t xml:space="preserve">X-OVER 3 -7/8 CAS B X  3-1/2" VAS #15.5 PPF P </t>
  </si>
  <si>
    <t xml:space="preserve">Safety Spacer  </t>
  </si>
  <si>
    <t xml:space="preserve">OWEN PRESSURE ACTUATED ( TDF) FIRING HEAD With X-over  </t>
  </si>
  <si>
    <t xml:space="preserve">OWEN MECHANICAL FIRING HEAD ASSEMBLY With X-over </t>
  </si>
  <si>
    <t>Cum Volume</t>
  </si>
  <si>
    <t>Top Of Tool         MD (Mtr)</t>
  </si>
  <si>
    <t>Panna/
Sandstone</t>
  </si>
  <si>
    <t>D33#G/ D-33-9</t>
  </si>
  <si>
    <t>Description</t>
  </si>
  <si>
    <t>D-33#G</t>
  </si>
  <si>
    <t>SURFACE TEST TREE + Master Valve</t>
  </si>
  <si>
    <t>17.2 PPG Calcium Bromide + Micromax</t>
  </si>
  <si>
    <t>ONGC Co Man</t>
  </si>
  <si>
    <t>4-1/2 " 5 SPF HNS GUNS</t>
  </si>
  <si>
    <t>Mumbai Offshore</t>
  </si>
  <si>
    <r>
      <t>3-1/2" VAS  # 15.5  PPF Tubing</t>
    </r>
    <r>
      <rPr>
        <b/>
        <sz val="11"/>
        <color theme="1"/>
        <rFont val="Calibri"/>
        <family val="2"/>
        <scheme val="minor"/>
      </rPr>
      <t xml:space="preserve"> (33 STANDS)</t>
    </r>
  </si>
  <si>
    <t>17.2 SOBM</t>
  </si>
  <si>
    <t>5 k</t>
  </si>
  <si>
    <r>
      <t xml:space="preserve">SSV Center of Ramlock to Bottom of SSV </t>
    </r>
    <r>
      <rPr>
        <b/>
        <sz val="11"/>
        <color theme="1"/>
        <rFont val="Calibri"/>
        <family val="2"/>
        <scheme val="minor"/>
      </rPr>
      <t xml:space="preserve"> ( Center Of 5" RAM 12.14 m) </t>
    </r>
  </si>
  <si>
    <t>Divyesh Rao</t>
  </si>
  <si>
    <t>Maniratnam</t>
  </si>
  <si>
    <t>O/P = 5000 psi at surface</t>
  </si>
  <si>
    <t>X-OVER 5"4 ACME  PIN X 3 1/2 ABTC-II #15.8 PPF PIN</t>
  </si>
  <si>
    <t>X-OVER 3-1/2 ABTC-II # 15.8  B X 3-7/8 CAS PIN</t>
  </si>
  <si>
    <t>X-OVER 3-7/8 CAS B X 3-1/2" VAS #15.5PPF PIN</t>
  </si>
  <si>
    <t>(Sea water)</t>
  </si>
  <si>
    <t>(Calcium Bromide + Micromax)</t>
  </si>
  <si>
    <t>(TBC)</t>
  </si>
  <si>
    <t>5 " OD Ramlock</t>
  </si>
  <si>
    <t>Kiran B</t>
  </si>
  <si>
    <t>DST Supervisor</t>
  </si>
  <si>
    <t>SELECT  TESTER VALVE - Standard Metering Cartridge</t>
  </si>
  <si>
    <t>Lock/Unlock  2700 psi                         Fail Safe Mode 1400 psi</t>
  </si>
  <si>
    <t>9,900 psi</t>
  </si>
  <si>
    <t xml:space="preserve">2 Pup Joint 2-7/8" EUE </t>
  </si>
  <si>
    <t xml:space="preserve">1 Joint 2-7/8" EUE Tubing </t>
  </si>
  <si>
    <t>Balaji T</t>
  </si>
  <si>
    <t>Closed  I  Closed l Open</t>
  </si>
  <si>
    <t xml:space="preserve">1 Joint 2-7/8" EUE TUBING </t>
  </si>
  <si>
    <t xml:space="preserve">2ea Electronic  Gauges Ported To Tubing   2 each Gauges ported to Annulus                             </t>
  </si>
  <si>
    <t xml:space="preserve"> HALLIBURTON TOOL STRING SCHEMATIC WITH 7"# 35 PPF  RETRIEVABLE XHP CHAMP PACKER-V</t>
  </si>
  <si>
    <t>Abdul</t>
  </si>
  <si>
    <t>Gauge Specialist</t>
  </si>
  <si>
    <t>Yogesh</t>
  </si>
  <si>
    <t>Unni</t>
  </si>
  <si>
    <t>3727.5 - 3738.5</t>
  </si>
  <si>
    <t>15 K</t>
  </si>
  <si>
    <t>DST-2</t>
  </si>
  <si>
    <t>3889-3886, 3875-3872
3854-3850, 3791-3787
3783-3777, 3772-3766</t>
  </si>
  <si>
    <t>DST 2</t>
  </si>
  <si>
    <r>
      <t xml:space="preserve">340.0 </t>
    </r>
    <r>
      <rPr>
        <sz val="12"/>
        <rFont val="Calibri"/>
        <family val="2"/>
      </rPr>
      <t>⁰</t>
    </r>
    <r>
      <rPr>
        <sz val="12"/>
        <rFont val="Arial"/>
        <family val="2"/>
      </rPr>
      <t>F</t>
    </r>
  </si>
  <si>
    <t>11,372   psi</t>
  </si>
  <si>
    <t xml:space="preserve">4,425 psi </t>
  </si>
  <si>
    <t>19% -37%</t>
  </si>
  <si>
    <t xml:space="preserve">1. N2 Reduction Factor @ 91%.                                                       2. N2 charging pressure base on Single Chamber Charge.               3. Operating pressure as per N2 Calculator 1220 psi.                    </t>
  </si>
  <si>
    <t xml:space="preserve">1. N2 Reduction Factor @ 91%.                                                      2. Piston Position Results - 18% - 25% -34%                               3. Operating pressure as per N2 Calc.1308 / 2608 psi                                                                                                                                         </t>
  </si>
  <si>
    <t xml:space="preserve">RA SUB (RA Marker @ 3692.3 m)  </t>
  </si>
  <si>
    <t>RA SUB (RA Marker @2719.66 m)</t>
  </si>
  <si>
    <t>16 K</t>
  </si>
  <si>
    <t>O/P = 5400 psi</t>
  </si>
  <si>
    <t xml:space="preserve">O/P = 4400 psi </t>
  </si>
  <si>
    <t xml:space="preserve">OMNI DT CIRCULATING VALVE, Double Chamber                                                                </t>
  </si>
  <si>
    <t>`</t>
  </si>
  <si>
    <t xml:space="preserve">Pup Joint 3-1/2 VAS #15.5 PPF </t>
  </si>
  <si>
    <t>Pup Joint 3-1/2 VAS #15.5 PPF</t>
  </si>
  <si>
    <r>
      <t xml:space="preserve">Tubing 3-1/2 VAS #15.5 PPF </t>
    </r>
    <r>
      <rPr>
        <b/>
        <sz val="11"/>
        <color theme="1"/>
        <rFont val="Calibri"/>
        <family val="2"/>
        <scheme val="minor"/>
      </rPr>
      <t>( 1 STAND )</t>
    </r>
  </si>
  <si>
    <r>
      <t xml:space="preserve">Tubing 3-1/2 VAS #15.5 PPF </t>
    </r>
    <r>
      <rPr>
        <b/>
        <sz val="11"/>
        <color theme="1"/>
        <rFont val="Calibri"/>
        <family val="2"/>
        <scheme val="minor"/>
      </rPr>
      <t>( 92 STANDS + 1 single )</t>
    </r>
  </si>
  <si>
    <t>Final</t>
  </si>
  <si>
    <t xml:space="preserve">RM Slip Joint / Close </t>
  </si>
  <si>
    <t>17.2 PPG SOBM</t>
  </si>
  <si>
    <t>TOOL NUMBER</t>
  </si>
  <si>
    <t xml:space="preserve">Spacer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</si>
</sst>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0.000"/>
    <numFmt numFmtId="165" formatCode="[$-1009]mmmm\ d\,\ yyyy;@"/>
    <numFmt numFmtId="166" formatCode="0\ &quot;psi&quot;"/>
    <numFmt numFmtId="167" formatCode="0.0"/>
    <numFmt numFmtId="168" formatCode="0.000\ &quot;m&quot;"/>
    <numFmt numFmtId="169" formatCode="0\ &quot;º F&quot;"/>
    <numFmt numFmtId="170" formatCode="0\ &quot;m&quot;"/>
    <numFmt numFmtId="171" formatCode="0.0000"/>
    <numFmt numFmtId="172" formatCode="[$-409]mmmm\ d\,\ yyyy;@"/>
    <numFmt numFmtId="173" formatCode="[$-409]d\-mmm\-yy;@"/>
    <numFmt numFmtId="174" formatCode="#,##0.0"/>
    <numFmt numFmtId="175" formatCode="#,##0.0000"/>
    <numFmt numFmtId="176" formatCode="#,##0.00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4"/>
      <color theme="1"/>
      <name val="Calibri"/>
      <family val="2"/>
      <scheme val="minor"/>
    </font>
    <font>
      <sz val="10"/>
      <color theme="1"/>
      <name val="Calibri"/>
      <family val="2"/>
      <scheme val="minor"/>
    </font>
    <font>
      <sz val="10"/>
      <color rgb="FF000000"/>
      <name val="Calibri"/>
      <family val="2"/>
    </font>
    <font>
      <sz val="9"/>
      <color theme="1"/>
      <name val="Calibri"/>
      <family val="2"/>
      <scheme val="minor"/>
    </font>
    <font>
      <b/>
      <sz val="10"/>
      <name val="Arial"/>
      <family val="2"/>
    </font>
    <font>
      <sz val="10"/>
      <name val="Calibri"/>
      <family val="2"/>
      <scheme val="minor"/>
    </font>
    <font>
      <sz val="16"/>
      <color rgb="FFFF0000"/>
      <name val="Calibri"/>
      <family val="2"/>
      <scheme val="minor"/>
    </font>
    <font>
      <sz val="9"/>
      <name val="Arial"/>
      <family val="2"/>
    </font>
    <font>
      <sz val="9"/>
      <color indexed="10"/>
      <name val="Arial"/>
      <family val="2"/>
    </font>
    <font>
      <sz val="8"/>
      <name val="Arial"/>
      <family val="2"/>
    </font>
    <font>
      <sz val="10"/>
      <name val="Times New Roman Cyr"/>
      <family val="1"/>
      <charset val="204"/>
    </font>
    <font>
      <sz val="11"/>
      <name val="Calibri"/>
      <family val="2"/>
      <scheme val="minor"/>
    </font>
    <font>
      <sz val="14"/>
      <name val="Calibri"/>
      <family val="2"/>
      <scheme val="minor"/>
    </font>
    <font>
      <b/>
      <sz val="14"/>
      <name val="Calibri"/>
      <family val="2"/>
      <scheme val="minor"/>
    </font>
    <font>
      <b/>
      <sz val="10"/>
      <color theme="1"/>
      <name val="Calibri"/>
      <family val="2"/>
    </font>
    <font>
      <sz val="10"/>
      <color theme="1"/>
      <name val="Calibri"/>
      <family val="2"/>
    </font>
    <font>
      <b/>
      <sz val="10"/>
      <color rgb="FF000000"/>
      <name val="Calibri"/>
      <family val="2"/>
    </font>
    <font>
      <sz val="11"/>
      <color theme="1"/>
      <name val="Calibri"/>
      <family val="2"/>
    </font>
    <font>
      <b/>
      <sz val="11"/>
      <color rgb="FFFF0000"/>
      <name val="Calibri"/>
      <family val="2"/>
    </font>
    <font>
      <sz val="12"/>
      <name val="Courier New"/>
      <family val="3"/>
    </font>
    <font>
      <sz val="10"/>
      <name val="Courier New"/>
      <family val="3"/>
    </font>
    <font>
      <sz val="11"/>
      <name val="Arial"/>
      <family val="2"/>
    </font>
    <font>
      <sz val="12"/>
      <color rgb="FFFF0000"/>
      <name val="Arial"/>
      <family val="2"/>
    </font>
    <font>
      <b/>
      <sz val="12"/>
      <name val="Arial"/>
      <family val="2"/>
    </font>
    <font>
      <b/>
      <sz val="12"/>
      <color theme="0" tint="-0.499984740745262"/>
      <name val="Arial"/>
      <family val="2"/>
    </font>
    <font>
      <b/>
      <sz val="16"/>
      <name val="Arial"/>
      <family val="2"/>
    </font>
    <font>
      <sz val="12"/>
      <color theme="0" tint="-0.499984740745262"/>
      <name val="Arial"/>
      <family val="2"/>
    </font>
    <font>
      <sz val="12"/>
      <name val="Arial"/>
      <family val="2"/>
    </font>
    <font>
      <sz val="16"/>
      <name val="Arial"/>
      <family val="2"/>
    </font>
    <font>
      <sz val="12"/>
      <name val="Calibri"/>
      <family val="2"/>
    </font>
    <font>
      <b/>
      <sz val="16"/>
      <color theme="0" tint="-0.499984740745262"/>
      <name val="Arial"/>
      <family val="2"/>
    </font>
    <font>
      <b/>
      <sz val="14"/>
      <name val="Arial"/>
      <family val="2"/>
    </font>
    <font>
      <sz val="12"/>
      <color theme="1" tint="4.9989318521683403E-2"/>
      <name val="Arial"/>
      <family val="2"/>
    </font>
    <font>
      <b/>
      <u/>
      <sz val="10"/>
      <color rgb="FFFF0000"/>
      <name val="Arial"/>
      <family val="2"/>
    </font>
    <font>
      <b/>
      <u/>
      <sz val="10"/>
      <name val="Arial"/>
      <family val="2"/>
    </font>
    <font>
      <b/>
      <sz val="12"/>
      <color rgb="FFFF0000"/>
      <name val="Arial"/>
      <family val="2"/>
    </font>
    <font>
      <b/>
      <sz val="14"/>
      <color rgb="FFFF0000"/>
      <name val="Arial"/>
      <family val="2"/>
    </font>
    <font>
      <sz val="10"/>
      <color rgb="FFFF0000"/>
      <name val="Arial"/>
      <family val="2"/>
    </font>
    <font>
      <b/>
      <sz val="10"/>
      <color indexed="12"/>
      <name val="Arial"/>
      <family val="2"/>
    </font>
    <font>
      <b/>
      <u/>
      <sz val="10"/>
      <color indexed="12"/>
      <name val="Arial"/>
      <family val="2"/>
    </font>
    <font>
      <b/>
      <sz val="14"/>
      <color indexed="12"/>
      <name val="Arial"/>
      <family val="2"/>
    </font>
    <font>
      <b/>
      <u/>
      <sz val="10"/>
      <color indexed="10"/>
      <name val="Arial"/>
      <family val="2"/>
    </font>
    <font>
      <sz val="10"/>
      <color indexed="10"/>
      <name val="Arial"/>
      <family val="2"/>
    </font>
    <font>
      <b/>
      <sz val="10"/>
      <color rgb="FFFF0000"/>
      <name val="Arial"/>
      <family val="2"/>
    </font>
    <font>
      <b/>
      <sz val="10"/>
      <color theme="0"/>
      <name val="Arial"/>
      <family val="2"/>
    </font>
    <font>
      <sz val="10"/>
      <color theme="1" tint="4.9989318521683403E-2"/>
      <name val="Arial"/>
      <family val="2"/>
    </font>
    <font>
      <b/>
      <sz val="10"/>
      <color theme="1" tint="4.9989318521683403E-2"/>
      <name val="Arial"/>
      <family val="2"/>
    </font>
    <font>
      <sz val="10"/>
      <name val="Arial"/>
      <family val="2"/>
    </font>
    <font>
      <sz val="11"/>
      <color rgb="FF0070C0"/>
      <name val="Calibri"/>
      <family val="2"/>
      <scheme val="minor"/>
    </font>
    <font>
      <sz val="11"/>
      <color theme="1" tint="4.9989318521683403E-2"/>
      <name val="Calibri"/>
      <family val="2"/>
      <scheme val="minor"/>
    </font>
    <font>
      <b/>
      <sz val="16"/>
      <color rgb="FFFF0000"/>
      <name val="Calibri"/>
      <family val="2"/>
    </font>
    <font>
      <b/>
      <sz val="11"/>
      <name val="Arial"/>
      <family val="2"/>
    </font>
    <font>
      <b/>
      <sz val="12"/>
      <color theme="1"/>
      <name val="Calibri"/>
      <family val="2"/>
      <scheme val="minor"/>
    </font>
    <font>
      <b/>
      <sz val="12"/>
      <color rgb="FFFF0000"/>
      <name val="Calibri"/>
      <family val="2"/>
    </font>
    <font>
      <b/>
      <sz val="9"/>
      <name val="Arial"/>
      <family val="2"/>
    </font>
    <font>
      <b/>
      <sz val="11"/>
      <color rgb="FF000000"/>
      <name val="Calibri"/>
      <family val="2"/>
    </font>
    <font>
      <b/>
      <sz val="10"/>
      <color theme="1"/>
      <name val="Calibri"/>
      <family val="2"/>
      <scheme val="minor"/>
    </font>
    <font>
      <sz val="11"/>
      <color rgb="FF002060"/>
      <name val="Calibri"/>
      <family val="2"/>
      <scheme val="minor"/>
    </font>
    <font>
      <sz val="11"/>
      <color theme="3" tint="-0.499984740745262"/>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indexed="9"/>
        <bgColor indexed="64"/>
      </patternFill>
    </fill>
    <fill>
      <patternFill patternType="solid">
        <fgColor rgb="FFFFFF00"/>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0" tint="-4.9989318521683403E-2"/>
        <bgColor rgb="FF000000"/>
      </patternFill>
    </fill>
    <fill>
      <patternFill patternType="solid">
        <fgColor theme="0" tint="-0.249977111117893"/>
        <bgColor indexed="64"/>
      </patternFill>
    </fill>
    <fill>
      <patternFill patternType="solid">
        <fgColor theme="4" tint="0.79998168889431442"/>
        <bgColor indexed="64"/>
      </patternFill>
    </fill>
    <fill>
      <patternFill patternType="solid">
        <fgColor theme="9" tint="0.59999389629810485"/>
        <bgColor indexed="64"/>
      </patternFill>
    </fill>
  </fills>
  <borders count="8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mediumDashed">
        <color auto="1"/>
      </bottom>
      <diagonal/>
    </border>
    <border>
      <left/>
      <right/>
      <top style="thin">
        <color auto="1"/>
      </top>
      <bottom style="mediumDashed">
        <color auto="1"/>
      </bottom>
      <diagonal/>
    </border>
    <border>
      <left/>
      <right style="thin">
        <color auto="1"/>
      </right>
      <top style="thin">
        <color auto="1"/>
      </top>
      <bottom style="mediumDashed">
        <color auto="1"/>
      </bottom>
      <diagonal/>
    </border>
    <border>
      <left style="thin">
        <color auto="1"/>
      </left>
      <right style="thin">
        <color auto="1"/>
      </right>
      <top style="thin">
        <color auto="1"/>
      </top>
      <bottom style="mediumDashed">
        <color auto="1"/>
      </bottom>
      <diagonal/>
    </border>
    <border>
      <left/>
      <right/>
      <top/>
      <bottom style="mediumDashed">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auto="1"/>
      </left>
      <right/>
      <top style="thin">
        <color theme="0" tint="-0.499984740745262"/>
      </top>
      <bottom/>
      <diagonal/>
    </border>
    <border>
      <left/>
      <right/>
      <top style="thin">
        <color theme="0" tint="-0.499984740745262"/>
      </top>
      <bottom/>
      <diagonal/>
    </border>
    <border>
      <left/>
      <right/>
      <top/>
      <bottom style="medium">
        <color theme="0" tint="-0.499984740745262"/>
      </bottom>
      <diagonal/>
    </border>
    <border>
      <left style="thin">
        <color auto="1"/>
      </left>
      <right/>
      <top style="medium">
        <color theme="0" tint="-0.499984740745262"/>
      </top>
      <bottom/>
      <diagonal/>
    </border>
    <border>
      <left/>
      <right/>
      <top style="medium">
        <color theme="0" tint="-0.499984740745262"/>
      </top>
      <bottom/>
      <diagonal/>
    </border>
    <border>
      <left/>
      <right/>
      <top style="medium">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right>
      <top/>
      <bottom style="medium">
        <color theme="0"/>
      </bottom>
      <diagonal/>
    </border>
    <border>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medium">
        <color theme="0"/>
      </right>
      <top/>
      <bottom style="medium">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style="medium">
        <color theme="0"/>
      </right>
      <top style="medium">
        <color theme="0"/>
      </top>
      <bottom/>
      <diagonal/>
    </border>
    <border>
      <left style="medium">
        <color theme="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medium">
        <color theme="0"/>
      </top>
      <bottom style="medium">
        <color theme="0" tint="-0.499984740745262"/>
      </bottom>
      <diagonal/>
    </border>
    <border>
      <left style="thin">
        <color theme="0"/>
      </left>
      <right/>
      <top style="thin">
        <color theme="0"/>
      </top>
      <bottom style="medium">
        <color theme="0" tint="-0.499984740745262"/>
      </bottom>
      <diagonal/>
    </border>
    <border>
      <left/>
      <right/>
      <top style="thin">
        <color theme="0"/>
      </top>
      <bottom style="medium">
        <color theme="0" tint="-0.499984740745262"/>
      </bottom>
      <diagonal/>
    </border>
    <border>
      <left/>
      <right style="thin">
        <color theme="0"/>
      </right>
      <top style="thin">
        <color theme="0"/>
      </top>
      <bottom style="medium">
        <color theme="0" tint="-0.499984740745262"/>
      </bottom>
      <diagonal/>
    </border>
    <border>
      <left style="thin">
        <color theme="0"/>
      </left>
      <right style="thin">
        <color theme="0"/>
      </right>
      <top style="thin">
        <color theme="0"/>
      </top>
      <bottom style="medium">
        <color theme="0" tint="-0.499984740745262"/>
      </bottom>
      <diagonal/>
    </border>
    <border>
      <left/>
      <right style="thin">
        <color theme="0"/>
      </right>
      <top style="medium">
        <color theme="0" tint="-0.499984740745262"/>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tint="-0.499984740745262"/>
      </right>
      <top/>
      <bottom/>
      <diagonal/>
    </border>
    <border>
      <left/>
      <right/>
      <top style="thin">
        <color theme="0"/>
      </top>
      <bottom/>
      <diagonal/>
    </border>
    <border>
      <left style="thin">
        <color theme="0" tint="-0.499984740745262"/>
      </left>
      <right/>
      <top/>
      <bottom/>
      <diagonal/>
    </border>
    <border>
      <left/>
      <right style="thin">
        <color auto="1"/>
      </right>
      <top style="medium">
        <color auto="1"/>
      </top>
      <bottom/>
      <diagonal/>
    </border>
    <border>
      <left/>
      <right style="medium">
        <color indexed="64"/>
      </right>
      <top/>
      <bottom style="thin">
        <color auto="1"/>
      </bottom>
      <diagonal/>
    </border>
    <border>
      <left/>
      <right style="medium">
        <color indexed="64"/>
      </right>
      <top style="thin">
        <color auto="1"/>
      </top>
      <bottom style="medium">
        <color auto="1"/>
      </bottom>
      <diagonal/>
    </border>
    <border>
      <left style="medium">
        <color auto="1"/>
      </left>
      <right style="thin">
        <color auto="1"/>
      </right>
      <top style="thin">
        <color auto="1"/>
      </top>
      <bottom style="medium">
        <color indexed="64"/>
      </bottom>
      <diagonal/>
    </border>
    <border>
      <left/>
      <right/>
      <top style="medium">
        <color auto="1"/>
      </top>
      <bottom/>
      <diagonal/>
    </border>
    <border>
      <left style="thin">
        <color auto="1"/>
      </left>
      <right/>
      <top style="medium">
        <color indexed="64"/>
      </top>
      <bottom/>
      <diagonal/>
    </border>
    <border>
      <left style="medium">
        <color auto="1"/>
      </left>
      <right style="thin">
        <color auto="1"/>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auto="1"/>
      </bottom>
      <diagonal/>
    </border>
    <border>
      <left/>
      <right style="medium">
        <color indexed="64"/>
      </right>
      <top/>
      <bottom style="medium">
        <color auto="1"/>
      </bottom>
      <diagonal/>
    </border>
    <border>
      <left style="medium">
        <color indexed="64"/>
      </left>
      <right style="thin">
        <color auto="1"/>
      </right>
      <top style="medium">
        <color auto="1"/>
      </top>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right/>
      <top style="thin">
        <color auto="1"/>
      </top>
      <bottom style="medium">
        <color auto="1"/>
      </bottom>
      <diagonal/>
    </border>
  </borders>
  <cellStyleXfs count="7">
    <xf numFmtId="0" fontId="0" fillId="0" borderId="0"/>
    <xf numFmtId="0" fontId="33" fillId="0" borderId="0"/>
    <xf numFmtId="0" fontId="33" fillId="0" borderId="0"/>
    <xf numFmtId="4" fontId="44" fillId="0" borderId="0">
      <alignment vertical="center"/>
    </xf>
    <xf numFmtId="0" fontId="33" fillId="0" borderId="0"/>
    <xf numFmtId="0" fontId="81" fillId="0" borderId="0"/>
    <xf numFmtId="43" fontId="33" fillId="0" borderId="0" applyFont="0" applyFill="0" applyBorder="0" applyAlignment="0" applyProtection="0"/>
  </cellStyleXfs>
  <cellXfs count="663">
    <xf numFmtId="0" fontId="0" fillId="0" borderId="0" xfId="0"/>
    <xf numFmtId="0" fontId="0" fillId="0" borderId="0" xfId="0" applyFont="1" applyProtection="1">
      <protection locked="0"/>
    </xf>
    <xf numFmtId="0" fontId="35" fillId="0" borderId="7" xfId="0" applyFont="1" applyBorder="1" applyAlignment="1" applyProtection="1">
      <alignment horizontal="center"/>
      <protection locked="0"/>
    </xf>
    <xf numFmtId="0" fontId="35" fillId="0" borderId="7" xfId="1" applyFont="1" applyFill="1" applyBorder="1" applyAlignment="1">
      <alignment horizontal="center" vertical="center" wrapText="1"/>
    </xf>
    <xf numFmtId="2" fontId="35" fillId="0" borderId="7" xfId="0" applyNumberFormat="1" applyFont="1" applyBorder="1" applyAlignment="1" applyProtection="1">
      <alignment horizontal="center" vertical="center"/>
      <protection locked="0"/>
    </xf>
    <xf numFmtId="2" fontId="35" fillId="0" borderId="7" xfId="0" applyNumberFormat="1" applyFont="1" applyFill="1" applyBorder="1" applyAlignment="1" applyProtection="1">
      <alignment horizontal="center" vertical="center"/>
      <protection locked="0"/>
    </xf>
    <xf numFmtId="164" fontId="35" fillId="0" borderId="7" xfId="0" applyNumberFormat="1" applyFont="1" applyFill="1" applyBorder="1" applyAlignment="1" applyProtection="1">
      <alignment horizontal="center" vertical="center"/>
    </xf>
    <xf numFmtId="164" fontId="39" fillId="0" borderId="7" xfId="0" applyNumberFormat="1" applyFont="1" applyFill="1" applyBorder="1" applyAlignment="1" applyProtection="1">
      <alignment horizontal="center" vertical="center"/>
    </xf>
    <xf numFmtId="0" fontId="37" fillId="0" borderId="5" xfId="0" applyFont="1" applyBorder="1" applyAlignment="1" applyProtection="1">
      <alignment horizontal="center" vertical="center"/>
      <protection locked="0"/>
    </xf>
    <xf numFmtId="0" fontId="35" fillId="0" borderId="6" xfId="0" applyFont="1" applyBorder="1" applyAlignment="1" applyProtection="1">
      <alignment horizontal="center"/>
      <protection locked="0"/>
    </xf>
    <xf numFmtId="164" fontId="39" fillId="0" borderId="7" xfId="1" applyNumberFormat="1" applyFont="1" applyFill="1" applyBorder="1" applyAlignment="1">
      <alignment horizontal="center" vertical="center" wrapText="1"/>
    </xf>
    <xf numFmtId="0" fontId="35" fillId="0" borderId="0" xfId="0" applyFont="1" applyBorder="1" applyProtection="1">
      <protection locked="0"/>
    </xf>
    <xf numFmtId="0" fontId="35" fillId="0" borderId="6" xfId="0" applyFont="1" applyBorder="1" applyProtection="1">
      <protection locked="0"/>
    </xf>
    <xf numFmtId="164" fontId="35" fillId="0" borderId="7" xfId="1" applyNumberFormat="1" applyFont="1" applyFill="1" applyBorder="1" applyAlignment="1">
      <alignment horizontal="center" vertical="center" wrapText="1"/>
    </xf>
    <xf numFmtId="0" fontId="35" fillId="0" borderId="7" xfId="0" applyFont="1" applyBorder="1" applyProtection="1">
      <protection locked="0"/>
    </xf>
    <xf numFmtId="0" fontId="35" fillId="0" borderId="17" xfId="0" applyFont="1" applyBorder="1" applyAlignment="1" applyProtection="1">
      <alignment horizontal="center" vertical="center"/>
      <protection locked="0"/>
    </xf>
    <xf numFmtId="0" fontId="35" fillId="0" borderId="7" xfId="0" applyFont="1" applyBorder="1" applyAlignment="1" applyProtection="1">
      <alignment horizontal="center" vertical="center"/>
      <protection locked="0"/>
    </xf>
    <xf numFmtId="164" fontId="39" fillId="0" borderId="7" xfId="0" applyNumberFormat="1" applyFont="1" applyFill="1" applyBorder="1" applyAlignment="1" applyProtection="1">
      <alignment horizontal="center" vertical="center"/>
      <protection locked="0"/>
    </xf>
    <xf numFmtId="2" fontId="35" fillId="0" borderId="18" xfId="0" applyNumberFormat="1" applyFont="1" applyBorder="1" applyAlignment="1" applyProtection="1">
      <alignment horizontal="center" vertical="center"/>
      <protection locked="0"/>
    </xf>
    <xf numFmtId="164" fontId="39" fillId="0" borderId="18" xfId="0" applyNumberFormat="1" applyFont="1" applyFill="1" applyBorder="1" applyAlignment="1" applyProtection="1">
      <alignment horizontal="center" vertical="center"/>
      <protection locked="0"/>
    </xf>
    <xf numFmtId="0" fontId="35" fillId="0" borderId="18" xfId="0" applyFont="1" applyBorder="1" applyProtection="1">
      <protection locked="0"/>
    </xf>
    <xf numFmtId="0" fontId="40" fillId="2" borderId="21" xfId="1" applyFont="1" applyFill="1" applyBorder="1" applyAlignment="1">
      <alignment horizontal="center" wrapText="1"/>
    </xf>
    <xf numFmtId="0" fontId="35" fillId="0" borderId="22" xfId="0" applyFont="1" applyFill="1" applyBorder="1" applyAlignment="1" applyProtection="1">
      <alignment horizontal="center"/>
      <protection locked="0"/>
    </xf>
    <xf numFmtId="0" fontId="35" fillId="0" borderId="22" xfId="1" applyFont="1" applyFill="1" applyBorder="1" applyAlignment="1">
      <alignment horizontal="center" vertical="center" shrinkToFit="1"/>
    </xf>
    <xf numFmtId="0" fontId="35" fillId="0" borderId="22" xfId="0" applyFont="1" applyBorder="1" applyAlignment="1" applyProtection="1">
      <alignment horizontal="center" vertical="center"/>
      <protection locked="0"/>
    </xf>
    <xf numFmtId="164" fontId="35" fillId="0" borderId="22" xfId="1" applyNumberFormat="1" applyFont="1" applyFill="1" applyBorder="1" applyAlignment="1">
      <alignment horizontal="center" vertical="center" wrapText="1"/>
    </xf>
    <xf numFmtId="164" fontId="35" fillId="0" borderId="22" xfId="2" applyNumberFormat="1" applyFont="1" applyFill="1" applyBorder="1" applyAlignment="1">
      <alignment horizontal="center" vertical="center" wrapText="1"/>
    </xf>
    <xf numFmtId="0" fontId="35" fillId="0" borderId="23" xfId="0" applyFont="1" applyFill="1" applyBorder="1" applyProtection="1">
      <protection locked="0"/>
    </xf>
    <xf numFmtId="166" fontId="35" fillId="0" borderId="22" xfId="0" applyNumberFormat="1" applyFont="1" applyFill="1" applyBorder="1" applyAlignment="1" applyProtection="1">
      <alignment horizontal="center" vertical="center"/>
      <protection locked="0"/>
    </xf>
    <xf numFmtId="0" fontId="41" fillId="0" borderId="0" xfId="0" applyFont="1" applyFill="1" applyProtection="1">
      <protection locked="0"/>
    </xf>
    <xf numFmtId="0" fontId="35" fillId="0" borderId="18" xfId="0" applyFont="1" applyFill="1" applyBorder="1" applyAlignment="1" applyProtection="1">
      <alignment horizontal="center"/>
      <protection locked="0"/>
    </xf>
    <xf numFmtId="164" fontId="35" fillId="0" borderId="18" xfId="1" applyNumberFormat="1" applyFont="1" applyFill="1" applyBorder="1" applyAlignment="1">
      <alignment horizontal="center" vertical="center" wrapText="1"/>
    </xf>
    <xf numFmtId="164" fontId="35" fillId="0" borderId="18" xfId="2" applyNumberFormat="1" applyFont="1" applyFill="1" applyBorder="1" applyAlignment="1">
      <alignment horizontal="center" vertical="center" wrapText="1"/>
    </xf>
    <xf numFmtId="0" fontId="35" fillId="0" borderId="0" xfId="0" applyFont="1" applyFill="1" applyBorder="1" applyProtection="1">
      <protection locked="0"/>
    </xf>
    <xf numFmtId="166" fontId="35" fillId="0" borderId="18" xfId="0" applyNumberFormat="1" applyFont="1" applyFill="1" applyBorder="1" applyAlignment="1" applyProtection="1">
      <alignment horizontal="center" vertical="center"/>
      <protection locked="0"/>
    </xf>
    <xf numFmtId="0" fontId="35" fillId="2" borderId="7" xfId="0" applyFont="1" applyFill="1" applyBorder="1" applyAlignment="1">
      <alignment horizontal="center" vertical="center"/>
    </xf>
    <xf numFmtId="164" fontId="35" fillId="0" borderId="7" xfId="2" applyNumberFormat="1" applyFont="1" applyFill="1" applyBorder="1" applyAlignment="1">
      <alignment horizontal="center" vertical="center" wrapText="1"/>
    </xf>
    <xf numFmtId="164" fontId="35" fillId="0" borderId="7" xfId="0" applyNumberFormat="1" applyFont="1" applyFill="1" applyBorder="1" applyAlignment="1" applyProtection="1">
      <alignment horizontal="center" vertical="center"/>
      <protection locked="0"/>
    </xf>
    <xf numFmtId="166" fontId="35" fillId="0" borderId="7" xfId="0" applyNumberFormat="1" applyFont="1" applyBorder="1" applyAlignment="1" applyProtection="1">
      <alignment horizontal="center" vertical="center"/>
      <protection locked="0"/>
    </xf>
    <xf numFmtId="0" fontId="41" fillId="0" borderId="0" xfId="0" applyFont="1" applyProtection="1">
      <protection locked="0"/>
    </xf>
    <xf numFmtId="0" fontId="42" fillId="0" borderId="0" xfId="0" applyFont="1" applyFill="1" applyBorder="1" applyAlignment="1">
      <alignment horizontal="center" vertical="center" wrapText="1"/>
    </xf>
    <xf numFmtId="164" fontId="0" fillId="2" borderId="0" xfId="0" applyNumberFormat="1" applyFont="1" applyFill="1" applyBorder="1" applyAlignment="1" applyProtection="1">
      <alignment horizontal="center" vertical="center"/>
      <protection locked="0"/>
    </xf>
    <xf numFmtId="0" fontId="43" fillId="0" borderId="0" xfId="0" applyFont="1" applyFill="1" applyBorder="1" applyAlignment="1" applyProtection="1">
      <alignment horizontal="center" vertical="center"/>
      <protection locked="0"/>
    </xf>
    <xf numFmtId="2" fontId="0" fillId="0" borderId="0" xfId="0" applyNumberFormat="1" applyFont="1" applyFill="1" applyBorder="1" applyAlignment="1" applyProtection="1">
      <alignment horizontal="center" vertical="center"/>
      <protection locked="0"/>
    </xf>
    <xf numFmtId="2" fontId="0" fillId="0" borderId="0" xfId="0" applyNumberFormat="1" applyFont="1" applyBorder="1" applyAlignment="1" applyProtection="1">
      <alignment horizontal="center" vertical="center"/>
      <protection locked="0"/>
    </xf>
    <xf numFmtId="0" fontId="35" fillId="0" borderId="7" xfId="0" applyFont="1" applyBorder="1" applyAlignment="1">
      <alignment horizontal="center" vertical="center"/>
    </xf>
    <xf numFmtId="0" fontId="31" fillId="0" borderId="7" xfId="0" applyFont="1" applyBorder="1" applyAlignment="1" applyProtection="1">
      <alignment horizontal="center" vertical="center"/>
      <protection locked="0"/>
    </xf>
    <xf numFmtId="0" fontId="35" fillId="0" borderId="7" xfId="0" applyFont="1" applyFill="1" applyBorder="1" applyAlignment="1" applyProtection="1">
      <alignment horizontal="center" vertical="center"/>
      <protection locked="0"/>
    </xf>
    <xf numFmtId="164" fontId="35" fillId="2" borderId="7" xfId="2" applyNumberFormat="1" applyFont="1" applyFill="1" applyBorder="1" applyAlignment="1">
      <alignment horizontal="center" vertical="center" wrapText="1"/>
    </xf>
    <xf numFmtId="0" fontId="35" fillId="2" borderId="7" xfId="0" applyFont="1" applyFill="1" applyBorder="1" applyAlignment="1" applyProtection="1">
      <alignment horizontal="left" vertical="center"/>
      <protection locked="0"/>
    </xf>
    <xf numFmtId="2" fontId="35" fillId="2" borderId="7" xfId="0" applyNumberFormat="1" applyFont="1" applyFill="1" applyBorder="1" applyAlignment="1" applyProtection="1">
      <alignment horizontal="center" vertical="center"/>
      <protection locked="0"/>
    </xf>
    <xf numFmtId="0" fontId="31" fillId="2" borderId="7" xfId="0" applyFont="1" applyFill="1" applyBorder="1" applyAlignment="1">
      <alignment horizontal="center" vertical="center"/>
    </xf>
    <xf numFmtId="0" fontId="31" fillId="0" borderId="7" xfId="0" applyFont="1" applyFill="1" applyBorder="1" applyAlignment="1">
      <alignment horizontal="center" vertical="center"/>
    </xf>
    <xf numFmtId="0" fontId="35" fillId="0" borderId="0" xfId="0" applyFont="1" applyFill="1" applyBorder="1" applyAlignment="1" applyProtection="1">
      <alignment horizontal="left" vertical="center"/>
      <protection locked="0"/>
    </xf>
    <xf numFmtId="166" fontId="35" fillId="0" borderId="7" xfId="0" applyNumberFormat="1" applyFont="1" applyFill="1" applyBorder="1" applyAlignment="1" applyProtection="1">
      <alignment horizontal="center" vertical="center"/>
      <protection locked="0"/>
    </xf>
    <xf numFmtId="164" fontId="0" fillId="0" borderId="0" xfId="0" applyNumberFormat="1" applyFont="1" applyFill="1" applyBorder="1" applyAlignment="1" applyProtection="1">
      <alignment horizontal="center" vertical="center"/>
      <protection locked="0"/>
    </xf>
    <xf numFmtId="0" fontId="0" fillId="0" borderId="0" xfId="0" applyFont="1" applyFill="1" applyProtection="1">
      <protection locked="0"/>
    </xf>
    <xf numFmtId="0" fontId="35" fillId="2" borderId="7" xfId="0" applyFont="1" applyFill="1" applyBorder="1" applyAlignment="1" applyProtection="1">
      <alignment horizontal="center" vertical="center"/>
      <protection locked="0"/>
    </xf>
    <xf numFmtId="0" fontId="35" fillId="4" borderId="7" xfId="0" applyFont="1" applyFill="1" applyBorder="1" applyAlignment="1" applyProtection="1">
      <alignment horizontal="center" vertical="center"/>
      <protection locked="0"/>
    </xf>
    <xf numFmtId="0" fontId="35" fillId="2" borderId="0" xfId="0" applyFont="1" applyFill="1" applyBorder="1" applyAlignment="1" applyProtection="1">
      <alignment horizontal="left" vertical="center"/>
      <protection locked="0"/>
    </xf>
    <xf numFmtId="2" fontId="35" fillId="0" borderId="18" xfId="0" applyNumberFormat="1" applyFont="1" applyFill="1" applyBorder="1" applyAlignment="1" applyProtection="1">
      <alignment horizontal="center" vertical="center"/>
      <protection locked="0"/>
    </xf>
    <xf numFmtId="166" fontId="35" fillId="0" borderId="6" xfId="0" applyNumberFormat="1" applyFont="1" applyBorder="1" applyAlignment="1" applyProtection="1">
      <alignment horizontal="center" vertical="center"/>
      <protection locked="0"/>
    </xf>
    <xf numFmtId="0" fontId="31" fillId="2" borderId="7" xfId="0" applyFont="1" applyFill="1" applyBorder="1" applyAlignment="1" applyProtection="1">
      <alignment horizontal="center" vertical="center"/>
      <protection locked="0"/>
    </xf>
    <xf numFmtId="0" fontId="35" fillId="5" borderId="0" xfId="0" applyFont="1" applyFill="1" applyBorder="1" applyProtection="1">
      <protection locked="0"/>
    </xf>
    <xf numFmtId="0" fontId="35" fillId="2" borderId="7" xfId="0" applyFont="1" applyFill="1" applyBorder="1" applyAlignment="1" applyProtection="1">
      <alignment horizontal="center" vertical="center" wrapText="1"/>
      <protection locked="0"/>
    </xf>
    <xf numFmtId="164" fontId="35" fillId="2" borderId="7" xfId="0" applyNumberFormat="1" applyFont="1" applyFill="1" applyBorder="1" applyAlignment="1" applyProtection="1">
      <alignment horizontal="center" vertical="center"/>
      <protection locked="0"/>
    </xf>
    <xf numFmtId="0" fontId="35" fillId="5" borderId="7" xfId="0" applyFont="1" applyFill="1" applyBorder="1" applyProtection="1">
      <protection locked="0"/>
    </xf>
    <xf numFmtId="166" fontId="35" fillId="5" borderId="7" xfId="0" applyNumberFormat="1" applyFont="1" applyFill="1" applyBorder="1" applyAlignment="1" applyProtection="1">
      <alignment horizontal="center" vertical="center"/>
      <protection locked="0"/>
    </xf>
    <xf numFmtId="0" fontId="35" fillId="4" borderId="6" xfId="0" applyFont="1" applyFill="1" applyBorder="1" applyAlignment="1" applyProtection="1">
      <alignment horizontal="center" vertical="center" wrapText="1"/>
      <protection locked="0"/>
    </xf>
    <xf numFmtId="0" fontId="35" fillId="4" borderId="6" xfId="0" applyFont="1" applyFill="1" applyBorder="1" applyAlignment="1" applyProtection="1">
      <alignment horizontal="center" vertical="center"/>
      <protection locked="0"/>
    </xf>
    <xf numFmtId="2" fontId="35" fillId="4" borderId="6" xfId="0" applyNumberFormat="1" applyFont="1" applyFill="1" applyBorder="1" applyAlignment="1" applyProtection="1">
      <alignment horizontal="center" vertical="center"/>
      <protection locked="0"/>
    </xf>
    <xf numFmtId="0" fontId="31" fillId="0" borderId="7" xfId="0" applyFont="1" applyFill="1" applyBorder="1" applyAlignment="1" applyProtection="1">
      <alignment horizontal="center" vertical="center"/>
      <protection locked="0"/>
    </xf>
    <xf numFmtId="0" fontId="35" fillId="2" borderId="7" xfId="0" applyFont="1" applyFill="1" applyBorder="1" applyProtection="1">
      <protection locked="0"/>
    </xf>
    <xf numFmtId="166" fontId="35" fillId="2" borderId="7" xfId="0" applyNumberFormat="1" applyFont="1" applyFill="1" applyBorder="1" applyAlignment="1" applyProtection="1">
      <alignment horizontal="center" vertical="center"/>
      <protection locked="0"/>
    </xf>
    <xf numFmtId="2" fontId="35" fillId="4" borderId="6" xfId="0" applyNumberFormat="1" applyFont="1" applyFill="1" applyBorder="1" applyAlignment="1" applyProtection="1">
      <alignment horizontal="center" vertical="center" wrapText="1"/>
      <protection locked="0"/>
    </xf>
    <xf numFmtId="0" fontId="31" fillId="0" borderId="6" xfId="0" applyFont="1" applyFill="1" applyBorder="1" applyAlignment="1" applyProtection="1">
      <alignment horizontal="center" vertical="center"/>
      <protection locked="0"/>
    </xf>
    <xf numFmtId="0" fontId="35" fillId="0" borderId="16" xfId="0" applyFont="1" applyBorder="1" applyAlignment="1" applyProtection="1">
      <alignment horizontal="center" vertical="center"/>
      <protection locked="0"/>
    </xf>
    <xf numFmtId="2" fontId="35" fillId="4" borderId="16" xfId="0" applyNumberFormat="1" applyFont="1" applyFill="1" applyBorder="1" applyAlignment="1" applyProtection="1">
      <alignment horizontal="center" vertical="center"/>
      <protection locked="0"/>
    </xf>
    <xf numFmtId="2" fontId="35" fillId="2" borderId="16" xfId="0" applyNumberFormat="1" applyFont="1" applyFill="1" applyBorder="1" applyAlignment="1" applyProtection="1">
      <alignment horizontal="center" vertical="center"/>
      <protection locked="0"/>
    </xf>
    <xf numFmtId="166" fontId="35" fillId="0" borderId="6" xfId="0" applyNumberFormat="1" applyFont="1" applyFill="1" applyBorder="1" applyAlignment="1" applyProtection="1">
      <alignment horizontal="center" vertical="center"/>
      <protection locked="0"/>
    </xf>
    <xf numFmtId="2" fontId="39" fillId="2" borderId="7" xfId="0" applyNumberFormat="1" applyFont="1" applyFill="1" applyBorder="1" applyAlignment="1" applyProtection="1">
      <alignment horizontal="center" vertical="center"/>
      <protection locked="0"/>
    </xf>
    <xf numFmtId="0" fontId="35" fillId="2" borderId="0" xfId="0" applyFont="1" applyFill="1" applyBorder="1" applyProtection="1">
      <protection locked="0"/>
    </xf>
    <xf numFmtId="166" fontId="35" fillId="2" borderId="6" xfId="0" applyNumberFormat="1" applyFont="1" applyFill="1" applyBorder="1" applyAlignment="1" applyProtection="1">
      <alignment horizontal="center" vertical="center"/>
      <protection locked="0"/>
    </xf>
    <xf numFmtId="0" fontId="35" fillId="2" borderId="6" xfId="0" applyFont="1" applyFill="1" applyBorder="1" applyAlignment="1" applyProtection="1">
      <alignment horizontal="center" vertical="center" wrapText="1"/>
      <protection locked="0"/>
    </xf>
    <xf numFmtId="0" fontId="31" fillId="2" borderId="6" xfId="0" applyFont="1" applyFill="1" applyBorder="1" applyAlignment="1" applyProtection="1">
      <alignment horizontal="center" vertical="center"/>
      <protection locked="0"/>
    </xf>
    <xf numFmtId="0" fontId="35" fillId="6" borderId="0" xfId="0" applyFont="1" applyFill="1" applyBorder="1" applyProtection="1">
      <protection locked="0"/>
    </xf>
    <xf numFmtId="166" fontId="35" fillId="6" borderId="7" xfId="0" applyNumberFormat="1" applyFont="1" applyFill="1" applyBorder="1" applyAlignment="1" applyProtection="1">
      <alignment horizontal="center" vertical="center"/>
      <protection locked="0"/>
    </xf>
    <xf numFmtId="0" fontId="39" fillId="2" borderId="7" xfId="0" applyFont="1" applyFill="1" applyBorder="1" applyAlignment="1" applyProtection="1">
      <alignment horizontal="center"/>
      <protection locked="0"/>
    </xf>
    <xf numFmtId="164" fontId="39" fillId="2" borderId="7" xfId="0" applyNumberFormat="1" applyFont="1" applyFill="1" applyBorder="1" applyAlignment="1" applyProtection="1">
      <alignment horizontal="center" vertical="center"/>
      <protection locked="0"/>
    </xf>
    <xf numFmtId="164" fontId="39" fillId="2" borderId="7" xfId="3" applyNumberFormat="1" applyFont="1" applyFill="1" applyBorder="1" applyAlignment="1">
      <alignment horizontal="center" vertical="center" wrapText="1"/>
    </xf>
    <xf numFmtId="0" fontId="39" fillId="2" borderId="0" xfId="0" applyFont="1" applyFill="1" applyBorder="1" applyProtection="1">
      <protection locked="0"/>
    </xf>
    <xf numFmtId="166" fontId="39" fillId="2" borderId="7" xfId="0" applyNumberFormat="1" applyFont="1" applyFill="1" applyBorder="1" applyAlignment="1" applyProtection="1">
      <alignment horizontal="center" vertical="center"/>
      <protection locked="0"/>
    </xf>
    <xf numFmtId="0" fontId="41" fillId="2" borderId="0" xfId="0" applyFont="1" applyFill="1" applyProtection="1">
      <protection locked="0"/>
    </xf>
    <xf numFmtId="0" fontId="0" fillId="2" borderId="0" xfId="0" applyFont="1" applyFill="1" applyProtection="1">
      <protection locked="0"/>
    </xf>
    <xf numFmtId="0" fontId="39" fillId="0" borderId="7" xfId="0" applyFont="1" applyBorder="1" applyAlignment="1" applyProtection="1">
      <alignment horizontal="center"/>
      <protection locked="0"/>
    </xf>
    <xf numFmtId="164" fontId="39" fillId="4" borderId="7" xfId="0" applyNumberFormat="1" applyFont="1" applyFill="1" applyBorder="1" applyAlignment="1" applyProtection="1">
      <alignment horizontal="center" vertical="center"/>
      <protection locked="0"/>
    </xf>
    <xf numFmtId="164" fontId="39" fillId="0" borderId="7" xfId="3" applyNumberFormat="1" applyFont="1" applyFill="1" applyBorder="1" applyAlignment="1">
      <alignment horizontal="center" vertical="center" wrapText="1"/>
    </xf>
    <xf numFmtId="0" fontId="39" fillId="0" borderId="0" xfId="0" applyFont="1" applyBorder="1" applyProtection="1">
      <protection locked="0"/>
    </xf>
    <xf numFmtId="166" fontId="39" fillId="0" borderId="7" xfId="0" applyNumberFormat="1" applyFont="1" applyBorder="1" applyAlignment="1" applyProtection="1">
      <alignment horizontal="center" vertical="center"/>
      <protection locked="0"/>
    </xf>
    <xf numFmtId="0" fontId="39" fillId="0" borderId="18" xfId="0" applyFont="1" applyBorder="1" applyAlignment="1" applyProtection="1">
      <alignment horizontal="center"/>
      <protection locked="0"/>
    </xf>
    <xf numFmtId="164" fontId="30" fillId="0" borderId="18" xfId="0" applyNumberFormat="1" applyFont="1" applyFill="1" applyBorder="1" applyAlignment="1" applyProtection="1">
      <alignment vertical="center"/>
    </xf>
    <xf numFmtId="164" fontId="35" fillId="0" borderId="7" xfId="3" applyNumberFormat="1" applyFont="1" applyFill="1" applyBorder="1" applyAlignment="1">
      <alignment horizontal="center" vertical="center" wrapText="1"/>
    </xf>
    <xf numFmtId="164" fontId="35" fillId="0" borderId="7" xfId="0" applyNumberFormat="1" applyFont="1" applyBorder="1" applyAlignment="1" applyProtection="1">
      <protection locked="0"/>
    </xf>
    <xf numFmtId="0" fontId="39" fillId="0" borderId="18" xfId="0" applyFont="1" applyFill="1" applyBorder="1" applyAlignment="1" applyProtection="1">
      <alignment horizontal="center"/>
      <protection locked="0"/>
    </xf>
    <xf numFmtId="164" fontId="30" fillId="0" borderId="18" xfId="0" applyNumberFormat="1" applyFont="1" applyFill="1" applyBorder="1" applyAlignment="1" applyProtection="1">
      <alignment horizontal="center" vertical="center"/>
    </xf>
    <xf numFmtId="164" fontId="35" fillId="0" borderId="7" xfId="0" applyNumberFormat="1" applyFont="1" applyFill="1" applyBorder="1" applyAlignment="1" applyProtection="1">
      <alignment horizontal="center" vertical="center" shrinkToFit="1"/>
      <protection locked="0"/>
    </xf>
    <xf numFmtId="164" fontId="35" fillId="0" borderId="3" xfId="0" applyNumberFormat="1" applyFont="1" applyBorder="1" applyAlignment="1" applyProtection="1">
      <alignment vertical="center"/>
      <protection locked="0"/>
    </xf>
    <xf numFmtId="164" fontId="35" fillId="0" borderId="3" xfId="0" applyNumberFormat="1" applyFont="1" applyBorder="1" applyAlignment="1" applyProtection="1">
      <protection locked="0"/>
    </xf>
    <xf numFmtId="164" fontId="35" fillId="0" borderId="7" xfId="0" applyNumberFormat="1" applyFont="1" applyBorder="1" applyAlignment="1" applyProtection="1">
      <alignment horizontal="center"/>
      <protection locked="0"/>
    </xf>
    <xf numFmtId="164" fontId="35" fillId="0" borderId="3" xfId="0" applyNumberFormat="1" applyFont="1" applyBorder="1" applyAlignment="1" applyProtection="1">
      <alignment horizontal="center"/>
      <protection locked="0"/>
    </xf>
    <xf numFmtId="164" fontId="30" fillId="4" borderId="7" xfId="0" applyNumberFormat="1" applyFont="1" applyFill="1" applyBorder="1" applyAlignment="1" applyProtection="1">
      <alignment vertical="center"/>
    </xf>
    <xf numFmtId="164" fontId="30" fillId="0" borderId="7" xfId="0" applyNumberFormat="1" applyFont="1" applyFill="1" applyBorder="1" applyAlignment="1" applyProtection="1">
      <alignment vertical="center"/>
    </xf>
    <xf numFmtId="164" fontId="35" fillId="0" borderId="7" xfId="0" applyNumberFormat="1" applyFont="1" applyFill="1" applyBorder="1" applyAlignment="1" applyProtection="1">
      <alignment vertical="center"/>
    </xf>
    <xf numFmtId="164" fontId="46" fillId="0" borderId="7" xfId="0" applyNumberFormat="1" applyFont="1" applyFill="1" applyBorder="1" applyAlignment="1" applyProtection="1">
      <alignment horizontal="center" vertical="center"/>
    </xf>
    <xf numFmtId="0" fontId="0" fillId="0" borderId="0" xfId="0" applyFont="1"/>
    <xf numFmtId="0" fontId="0" fillId="0" borderId="0" xfId="0" applyFont="1" applyAlignment="1">
      <alignment horizontal="center"/>
    </xf>
    <xf numFmtId="0" fontId="0" fillId="0" borderId="0" xfId="0" applyFont="1" applyBorder="1" applyProtection="1">
      <protection locked="0"/>
    </xf>
    <xf numFmtId="0" fontId="53" fillId="0" borderId="0" xfId="0" applyFont="1" applyBorder="1" applyAlignment="1" applyProtection="1">
      <alignment horizontal="left" vertical="center"/>
      <protection locked="0"/>
    </xf>
    <xf numFmtId="164" fontId="54" fillId="0" borderId="0" xfId="0" applyNumberFormat="1" applyFont="1" applyBorder="1" applyAlignment="1" applyProtection="1">
      <alignment horizontal="right" vertical="center"/>
      <protection locked="0"/>
    </xf>
    <xf numFmtId="0" fontId="54" fillId="0" borderId="0" xfId="0" applyFont="1" applyBorder="1" applyAlignment="1" applyProtection="1">
      <alignment horizontal="center" vertical="center"/>
      <protection locked="0"/>
    </xf>
    <xf numFmtId="0" fontId="0" fillId="0" borderId="0" xfId="0" applyFont="1" applyAlignment="1" applyProtection="1">
      <alignment horizontal="center"/>
      <protection locked="0"/>
    </xf>
    <xf numFmtId="0" fontId="30" fillId="2" borderId="36" xfId="4" applyFont="1" applyFill="1" applyBorder="1" applyAlignment="1"/>
    <xf numFmtId="0" fontId="33" fillId="2" borderId="36" xfId="4" applyFont="1" applyFill="1" applyBorder="1" applyAlignment="1"/>
    <xf numFmtId="0" fontId="33" fillId="2" borderId="0" xfId="4" applyFont="1" applyFill="1" applyBorder="1" applyAlignment="1"/>
    <xf numFmtId="0" fontId="33" fillId="2" borderId="0" xfId="4" applyFont="1" applyFill="1"/>
    <xf numFmtId="0" fontId="30" fillId="2" borderId="0" xfId="4" applyFont="1" applyFill="1" applyBorder="1" applyAlignment="1"/>
    <xf numFmtId="0" fontId="56" fillId="2" borderId="4" xfId="4" applyFont="1" applyFill="1" applyBorder="1" applyAlignment="1"/>
    <xf numFmtId="0" fontId="56" fillId="2" borderId="0" xfId="4" applyFont="1" applyFill="1" applyBorder="1" applyAlignment="1"/>
    <xf numFmtId="0" fontId="55" fillId="2" borderId="37" xfId="4" applyFont="1" applyFill="1" applyBorder="1" applyAlignment="1"/>
    <xf numFmtId="0" fontId="56" fillId="2" borderId="37" xfId="4" applyFont="1" applyFill="1" applyBorder="1" applyAlignment="1"/>
    <xf numFmtId="0" fontId="33" fillId="2" borderId="37" xfId="4" applyFont="1" applyFill="1" applyBorder="1" applyAlignment="1"/>
    <xf numFmtId="0" fontId="57" fillId="2" borderId="38" xfId="4" applyFont="1" applyFill="1" applyBorder="1" applyAlignment="1"/>
    <xf numFmtId="0" fontId="57" fillId="2" borderId="39" xfId="4" applyFont="1" applyFill="1" applyBorder="1" applyAlignment="1"/>
    <xf numFmtId="0" fontId="58" fillId="2" borderId="40" xfId="4" applyFont="1" applyFill="1" applyBorder="1" applyAlignment="1">
      <alignment horizontal="right"/>
    </xf>
    <xf numFmtId="0" fontId="33" fillId="2" borderId="39" xfId="4" applyFont="1" applyFill="1" applyBorder="1" applyAlignment="1"/>
    <xf numFmtId="0" fontId="33" fillId="2" borderId="0" xfId="4" applyFont="1" applyFill="1" applyBorder="1"/>
    <xf numFmtId="0" fontId="59" fillId="0" borderId="43" xfId="4" applyFont="1" applyFill="1" applyBorder="1" applyAlignment="1">
      <alignment horizontal="center" vertical="center"/>
    </xf>
    <xf numFmtId="0" fontId="59" fillId="0" borderId="44" xfId="4" applyFont="1" applyFill="1" applyBorder="1" applyAlignment="1">
      <alignment horizontal="center" vertical="center"/>
    </xf>
    <xf numFmtId="0" fontId="59" fillId="0" borderId="49" xfId="4" applyFont="1" applyFill="1" applyBorder="1" applyAlignment="1">
      <alignment horizontal="center" vertical="center"/>
    </xf>
    <xf numFmtId="0" fontId="62" fillId="0" borderId="50" xfId="4" applyFont="1" applyFill="1" applyBorder="1" applyAlignment="1">
      <alignment horizontal="center" vertical="center"/>
    </xf>
    <xf numFmtId="0" fontId="59" fillId="0" borderId="55" xfId="4" applyFont="1" applyFill="1" applyBorder="1" applyAlignment="1">
      <alignment horizontal="center" vertical="center"/>
    </xf>
    <xf numFmtId="0" fontId="62" fillId="0" borderId="56" xfId="4" applyFont="1" applyFill="1" applyBorder="1" applyAlignment="1">
      <alignment horizontal="center" vertical="center"/>
    </xf>
    <xf numFmtId="0" fontId="61" fillId="0" borderId="57" xfId="4" applyFont="1" applyFill="1" applyBorder="1" applyAlignment="1">
      <alignment horizontal="left"/>
    </xf>
    <xf numFmtId="0" fontId="59" fillId="0" borderId="58" xfId="4" applyFont="1" applyFill="1" applyBorder="1" applyAlignment="1">
      <alignment horizontal="center" vertical="center"/>
    </xf>
    <xf numFmtId="0" fontId="61" fillId="0" borderId="62" xfId="4" applyFont="1" applyFill="1" applyBorder="1" applyAlignment="1">
      <alignment horizontal="center" vertical="center"/>
    </xf>
    <xf numFmtId="0" fontId="59" fillId="0" borderId="63" xfId="4" applyFont="1" applyFill="1" applyBorder="1" applyAlignment="1">
      <alignment horizontal="center" vertical="center"/>
    </xf>
    <xf numFmtId="0" fontId="61" fillId="0" borderId="64" xfId="4" applyFont="1" applyFill="1" applyBorder="1" applyAlignment="1">
      <alignment horizontal="left" vertical="center"/>
    </xf>
    <xf numFmtId="0" fontId="61" fillId="0" borderId="0" xfId="4" applyFont="1" applyFill="1" applyBorder="1" applyAlignment="1">
      <alignment horizontal="left" vertical="center"/>
    </xf>
    <xf numFmtId="0" fontId="61" fillId="0" borderId="65" xfId="4" applyFont="1" applyFill="1" applyBorder="1" applyAlignment="1">
      <alignment horizontal="center" vertical="center"/>
    </xf>
    <xf numFmtId="0" fontId="59" fillId="0" borderId="45" xfId="4" applyFont="1" applyFill="1" applyBorder="1" applyAlignment="1">
      <alignment horizontal="center" vertical="center"/>
    </xf>
    <xf numFmtId="0" fontId="59" fillId="0" borderId="47" xfId="4" applyFont="1" applyFill="1" applyBorder="1" applyAlignment="1">
      <alignment horizontal="center" vertical="center"/>
    </xf>
    <xf numFmtId="0" fontId="59" fillId="7" borderId="0" xfId="4" applyFont="1" applyFill="1" applyBorder="1" applyAlignment="1">
      <alignment vertical="center"/>
    </xf>
    <xf numFmtId="3" fontId="33" fillId="2" borderId="0" xfId="4" applyNumberFormat="1" applyFont="1" applyFill="1" applyBorder="1"/>
    <xf numFmtId="3" fontId="65" fillId="2" borderId="0" xfId="4" applyNumberFormat="1" applyFont="1" applyFill="1" applyBorder="1" applyAlignment="1">
      <alignment vertical="center"/>
    </xf>
    <xf numFmtId="3" fontId="0" fillId="2" borderId="0" xfId="4" applyNumberFormat="1" applyFont="1" applyFill="1" applyBorder="1"/>
    <xf numFmtId="3" fontId="33" fillId="2" borderId="0" xfId="4" applyNumberFormat="1" applyFont="1" applyFill="1" applyBorder="1" applyAlignment="1">
      <alignment horizontal="right"/>
    </xf>
    <xf numFmtId="3" fontId="67" fillId="7" borderId="0" xfId="4" applyNumberFormat="1" applyFont="1" applyFill="1" applyBorder="1" applyAlignment="1"/>
    <xf numFmtId="3" fontId="33" fillId="7" borderId="0" xfId="4" applyNumberFormat="1" applyFont="1" applyFill="1" applyBorder="1" applyAlignment="1">
      <alignment horizontal="left" vertical="center"/>
    </xf>
    <xf numFmtId="3" fontId="33" fillId="7" borderId="0" xfId="4" applyNumberFormat="1" applyFont="1" applyFill="1" applyBorder="1"/>
    <xf numFmtId="3" fontId="38" fillId="7" borderId="0" xfId="4" applyNumberFormat="1" applyFont="1" applyFill="1" applyBorder="1" applyAlignment="1">
      <alignment horizontal="right"/>
    </xf>
    <xf numFmtId="3" fontId="38" fillId="2" borderId="0" xfId="4" applyNumberFormat="1" applyFont="1" applyFill="1" applyBorder="1" applyAlignment="1">
      <alignment horizontal="center"/>
    </xf>
    <xf numFmtId="0" fontId="33" fillId="2" borderId="0" xfId="4" applyFont="1" applyFill="1" applyBorder="1" applyAlignment="1">
      <alignment horizontal="right"/>
    </xf>
    <xf numFmtId="3" fontId="68" fillId="2" borderId="0" xfId="4" applyNumberFormat="1" applyFont="1" applyFill="1" applyBorder="1" applyAlignment="1"/>
    <xf numFmtId="3" fontId="33" fillId="7" borderId="0" xfId="4" applyNumberFormat="1" applyFont="1" applyFill="1" applyBorder="1" applyAlignment="1">
      <alignment horizontal="right"/>
    </xf>
    <xf numFmtId="0" fontId="0" fillId="7" borderId="0" xfId="4" applyFont="1" applyFill="1" applyBorder="1" applyAlignment="1">
      <alignment horizontal="right"/>
    </xf>
    <xf numFmtId="3" fontId="0" fillId="2" borderId="0" xfId="4" applyNumberFormat="1" applyFont="1" applyFill="1" applyBorder="1" applyAlignment="1">
      <alignment horizontal="right"/>
    </xf>
    <xf numFmtId="0" fontId="0" fillId="2" borderId="0" xfId="4" applyFont="1" applyFill="1" applyBorder="1" applyAlignment="1">
      <alignment horizontal="right"/>
    </xf>
    <xf numFmtId="0" fontId="69" fillId="7" borderId="0" xfId="4" applyFont="1" applyFill="1" applyBorder="1" applyAlignment="1">
      <alignment horizontal="right"/>
    </xf>
    <xf numFmtId="3" fontId="61" fillId="2" borderId="66" xfId="4" applyNumberFormat="1" applyFont="1" applyFill="1" applyBorder="1" applyAlignment="1">
      <alignment horizontal="right"/>
    </xf>
    <xf numFmtId="3" fontId="61" fillId="2" borderId="0" xfId="4" applyNumberFormat="1" applyFont="1" applyFill="1" applyBorder="1" applyAlignment="1">
      <alignment horizontal="left"/>
    </xf>
    <xf numFmtId="3" fontId="33" fillId="2" borderId="0" xfId="4" applyNumberFormat="1" applyFont="1" applyFill="1" applyBorder="1" applyAlignment="1">
      <alignment horizontal="center"/>
    </xf>
    <xf numFmtId="3" fontId="61" fillId="2" borderId="0" xfId="4" applyNumberFormat="1" applyFont="1" applyFill="1" applyBorder="1" applyAlignment="1">
      <alignment horizontal="right"/>
    </xf>
    <xf numFmtId="3" fontId="61" fillId="2" borderId="0" xfId="4" applyNumberFormat="1" applyFont="1" applyFill="1" applyBorder="1" applyAlignment="1">
      <alignment horizontal="center"/>
    </xf>
    <xf numFmtId="0" fontId="33" fillId="7" borderId="0" xfId="4" applyFont="1" applyFill="1" applyBorder="1" applyAlignment="1">
      <alignment vertical="top" wrapText="1"/>
    </xf>
    <xf numFmtId="3" fontId="57" fillId="2" borderId="0" xfId="4" applyNumberFormat="1" applyFont="1" applyFill="1" applyBorder="1" applyAlignment="1"/>
    <xf numFmtId="3" fontId="33" fillId="2" borderId="0" xfId="4" applyNumberFormat="1" applyFont="1" applyFill="1" applyBorder="1" applyAlignment="1"/>
    <xf numFmtId="3" fontId="57" fillId="10" borderId="28" xfId="4" applyNumberFormat="1" applyFont="1" applyFill="1" applyBorder="1" applyAlignment="1"/>
    <xf numFmtId="3" fontId="33" fillId="10" borderId="24" xfId="4" applyNumberFormat="1" applyFont="1" applyFill="1" applyBorder="1" applyAlignment="1"/>
    <xf numFmtId="3" fontId="68" fillId="10" borderId="24" xfId="4" applyNumberFormat="1" applyFont="1" applyFill="1" applyBorder="1" applyAlignment="1">
      <alignment horizontal="left"/>
    </xf>
    <xf numFmtId="3" fontId="33" fillId="10" borderId="24" xfId="4" applyNumberFormat="1" applyFont="1" applyFill="1" applyBorder="1" applyAlignment="1">
      <alignment horizontal="center"/>
    </xf>
    <xf numFmtId="3" fontId="33" fillId="2" borderId="4" xfId="4" applyNumberFormat="1" applyFont="1" applyFill="1" applyBorder="1"/>
    <xf numFmtId="3" fontId="33" fillId="2" borderId="18" xfId="4" applyNumberFormat="1" applyFont="1" applyFill="1" applyBorder="1" applyAlignment="1">
      <alignment horizontal="center"/>
    </xf>
    <xf numFmtId="0" fontId="33" fillId="2" borderId="7" xfId="4" applyFont="1" applyFill="1" applyBorder="1" applyAlignment="1">
      <alignment horizontal="right"/>
    </xf>
    <xf numFmtId="3" fontId="33" fillId="2" borderId="16" xfId="4" applyNumberFormat="1" applyFont="1" applyFill="1" applyBorder="1" applyAlignment="1">
      <alignment horizontal="center"/>
    </xf>
    <xf numFmtId="3" fontId="33" fillId="2" borderId="7" xfId="4" applyNumberFormat="1" applyFont="1" applyFill="1" applyBorder="1" applyAlignment="1">
      <alignment horizontal="right"/>
    </xf>
    <xf numFmtId="0" fontId="69" fillId="2" borderId="7" xfId="4" applyFont="1" applyFill="1" applyBorder="1" applyAlignment="1">
      <alignment horizontal="right"/>
    </xf>
    <xf numFmtId="3" fontId="33" fillId="2" borderId="6" xfId="4" applyNumberFormat="1" applyFont="1" applyFill="1" applyBorder="1" applyAlignment="1">
      <alignment horizontal="center"/>
    </xf>
    <xf numFmtId="3" fontId="71" fillId="2" borderId="7" xfId="4" applyNumberFormat="1" applyFont="1" applyFill="1" applyBorder="1" applyAlignment="1">
      <alignment horizontal="right"/>
    </xf>
    <xf numFmtId="3" fontId="56" fillId="2" borderId="7" xfId="4" applyNumberFormat="1" applyFont="1" applyFill="1" applyBorder="1" applyAlignment="1">
      <alignment horizontal="center"/>
    </xf>
    <xf numFmtId="3" fontId="57" fillId="2" borderId="4" xfId="4" applyNumberFormat="1" applyFont="1" applyFill="1" applyBorder="1" applyAlignment="1"/>
    <xf numFmtId="174" fontId="61" fillId="2" borderId="66" xfId="4" applyNumberFormat="1" applyFont="1" applyFill="1" applyBorder="1" applyAlignment="1">
      <alignment horizontal="center"/>
    </xf>
    <xf numFmtId="4" fontId="33" fillId="2" borderId="0" xfId="4" applyNumberFormat="1" applyFont="1" applyFill="1" applyBorder="1"/>
    <xf numFmtId="3" fontId="72" fillId="2" borderId="0" xfId="4" applyNumberFormat="1" applyFont="1" applyFill="1" applyBorder="1" applyAlignment="1"/>
    <xf numFmtId="3" fontId="38" fillId="2" borderId="0" xfId="4" applyNumberFormat="1" applyFont="1" applyFill="1" applyBorder="1"/>
    <xf numFmtId="3" fontId="38" fillId="2" borderId="0" xfId="4" applyNumberFormat="1" applyFont="1" applyFill="1" applyBorder="1" applyAlignment="1">
      <alignment horizontal="right"/>
    </xf>
    <xf numFmtId="3" fontId="68" fillId="2" borderId="0" xfId="4" applyNumberFormat="1" applyFont="1" applyFill="1" applyBorder="1" applyAlignment="1">
      <alignment horizontal="right"/>
    </xf>
    <xf numFmtId="1" fontId="73" fillId="2" borderId="0" xfId="4" applyNumberFormat="1" applyFont="1" applyFill="1" applyBorder="1" applyAlignment="1">
      <alignment horizontal="left"/>
    </xf>
    <xf numFmtId="3" fontId="74" fillId="2" borderId="0" xfId="4" applyNumberFormat="1" applyFont="1" applyFill="1" applyBorder="1"/>
    <xf numFmtId="3" fontId="33" fillId="2" borderId="0" xfId="4" applyNumberFormat="1" applyFont="1" applyFill="1" applyBorder="1" applyAlignment="1">
      <alignment horizontal="left"/>
    </xf>
    <xf numFmtId="3" fontId="75" fillId="2" borderId="0" xfId="4" applyNumberFormat="1" applyFont="1" applyFill="1" applyBorder="1" applyAlignment="1">
      <alignment vertical="top" wrapText="1"/>
    </xf>
    <xf numFmtId="3" fontId="76" fillId="2" borderId="0" xfId="4" applyNumberFormat="1" applyFont="1" applyFill="1" applyBorder="1" applyAlignment="1">
      <alignment vertical="top" wrapText="1"/>
    </xf>
    <xf numFmtId="3" fontId="38" fillId="2" borderId="0" xfId="4" applyNumberFormat="1" applyFont="1" applyFill="1" applyBorder="1" applyAlignment="1">
      <alignment horizontal="left" vertical="top" wrapText="1"/>
    </xf>
    <xf numFmtId="3" fontId="69" fillId="2" borderId="0" xfId="4" applyNumberFormat="1" applyFont="1" applyFill="1" applyBorder="1" applyAlignment="1">
      <alignment horizontal="right" vertical="top" wrapText="1"/>
    </xf>
    <xf numFmtId="3" fontId="69" fillId="2" borderId="0" xfId="4" applyNumberFormat="1" applyFont="1" applyFill="1" applyBorder="1" applyAlignment="1">
      <alignment horizontal="center" vertical="top" wrapText="1"/>
    </xf>
    <xf numFmtId="3" fontId="69" fillId="2" borderId="0" xfId="4" applyNumberFormat="1" applyFont="1" applyFill="1" applyBorder="1" applyAlignment="1">
      <alignment horizontal="left" vertical="top" wrapText="1"/>
    </xf>
    <xf numFmtId="3" fontId="76" fillId="2" borderId="0" xfId="4" applyNumberFormat="1" applyFont="1" applyFill="1" applyBorder="1"/>
    <xf numFmtId="3" fontId="68" fillId="2" borderId="4" xfId="4" applyNumberFormat="1" applyFont="1" applyFill="1" applyBorder="1" applyAlignment="1"/>
    <xf numFmtId="0" fontId="33" fillId="2" borderId="0" xfId="4" applyFont="1" applyFill="1" applyAlignment="1">
      <alignment horizontal="right"/>
    </xf>
    <xf numFmtId="3" fontId="68" fillId="2" borderId="4" xfId="4" applyNumberFormat="1" applyFont="1" applyFill="1" applyBorder="1" applyAlignment="1">
      <alignment horizontal="right"/>
    </xf>
    <xf numFmtId="3" fontId="38" fillId="2" borderId="0" xfId="4" applyNumberFormat="1" applyFont="1" applyFill="1" applyBorder="1" applyAlignment="1"/>
    <xf numFmtId="1" fontId="38" fillId="2" borderId="0" xfId="4" applyNumberFormat="1" applyFont="1" applyFill="1" applyBorder="1" applyAlignment="1"/>
    <xf numFmtId="3" fontId="57" fillId="2" borderId="0" xfId="4" applyNumberFormat="1" applyFont="1" applyFill="1" applyBorder="1" applyAlignment="1">
      <alignment horizontal="right"/>
    </xf>
    <xf numFmtId="4" fontId="33" fillId="7" borderId="0" xfId="4" applyNumberFormat="1" applyFont="1" applyFill="1" applyBorder="1"/>
    <xf numFmtId="3" fontId="72" fillId="7" borderId="0" xfId="4" applyNumberFormat="1" applyFont="1" applyFill="1" applyBorder="1" applyAlignment="1"/>
    <xf numFmtId="0" fontId="38" fillId="2" borderId="0" xfId="4" applyFont="1" applyFill="1" applyBorder="1" applyAlignment="1">
      <alignment horizontal="right"/>
    </xf>
    <xf numFmtId="3" fontId="33" fillId="7" borderId="0" xfId="4" applyNumberFormat="1" applyFont="1" applyFill="1" applyBorder="1" applyAlignment="1">
      <alignment horizontal="center"/>
    </xf>
    <xf numFmtId="0" fontId="33" fillId="7" borderId="0" xfId="4" applyFont="1" applyFill="1" applyBorder="1" applyAlignment="1">
      <alignment horizontal="right"/>
    </xf>
    <xf numFmtId="0" fontId="69" fillId="2" borderId="0" xfId="4" applyFont="1" applyFill="1" applyBorder="1" applyAlignment="1">
      <alignment horizontal="right"/>
    </xf>
    <xf numFmtId="0" fontId="77" fillId="7" borderId="0" xfId="4" applyFont="1" applyFill="1" applyBorder="1" applyAlignment="1">
      <alignment horizontal="right"/>
    </xf>
    <xf numFmtId="174" fontId="55" fillId="2" borderId="48" xfId="4" applyNumberFormat="1" applyFont="1" applyFill="1" applyBorder="1" applyAlignment="1"/>
    <xf numFmtId="3" fontId="61" fillId="2" borderId="68" xfId="4" applyNumberFormat="1" applyFont="1" applyFill="1" applyBorder="1" applyAlignment="1">
      <alignment horizontal="center"/>
    </xf>
    <xf numFmtId="0" fontId="33" fillId="2" borderId="0" xfId="4" applyFont="1" applyFill="1" applyBorder="1" applyAlignment="1">
      <alignment vertical="top" wrapText="1"/>
    </xf>
    <xf numFmtId="174" fontId="38" fillId="2" borderId="0" xfId="4" applyNumberFormat="1" applyFont="1" applyFill="1" applyBorder="1" applyAlignment="1">
      <alignment horizontal="center"/>
    </xf>
    <xf numFmtId="174" fontId="78" fillId="2" borderId="0" xfId="4" applyNumberFormat="1" applyFont="1" applyFill="1" applyBorder="1" applyAlignment="1">
      <alignment horizontal="center"/>
    </xf>
    <xf numFmtId="3" fontId="61" fillId="2" borderId="0" xfId="4" applyNumberFormat="1" applyFont="1" applyFill="1" applyBorder="1" applyAlignment="1"/>
    <xf numFmtId="3" fontId="61" fillId="2" borderId="0" xfId="4" applyNumberFormat="1" applyFont="1" applyFill="1" applyBorder="1"/>
    <xf numFmtId="3" fontId="57" fillId="2" borderId="0" xfId="4" applyNumberFormat="1" applyFont="1" applyFill="1" applyBorder="1" applyAlignment="1">
      <alignment vertical="center"/>
    </xf>
    <xf numFmtId="0" fontId="61" fillId="2" borderId="0" xfId="4" applyFont="1" applyFill="1" applyBorder="1"/>
    <xf numFmtId="0" fontId="0" fillId="2" borderId="0" xfId="4" applyFont="1" applyFill="1" applyBorder="1"/>
    <xf numFmtId="3" fontId="77" fillId="2" borderId="0" xfId="4" applyNumberFormat="1" applyFont="1" applyFill="1" applyBorder="1"/>
    <xf numFmtId="3" fontId="33" fillId="2" borderId="0" xfId="4" applyNumberFormat="1" applyFont="1" applyFill="1"/>
    <xf numFmtId="0" fontId="0" fillId="2" borderId="0" xfId="4" applyFont="1" applyFill="1"/>
    <xf numFmtId="164" fontId="35" fillId="0" borderId="6" xfId="2" applyNumberFormat="1" applyFont="1" applyFill="1" applyBorder="1" applyAlignment="1">
      <alignment horizontal="center" vertical="center" wrapText="1"/>
    </xf>
    <xf numFmtId="0" fontId="82" fillId="0" borderId="6" xfId="0" applyFont="1" applyBorder="1" applyAlignment="1" applyProtection="1">
      <alignment horizontal="center" vertical="center"/>
      <protection locked="0"/>
    </xf>
    <xf numFmtId="0" fontId="82" fillId="0" borderId="22" xfId="0" applyFont="1" applyBorder="1" applyAlignment="1" applyProtection="1">
      <alignment horizontal="center" vertical="center"/>
      <protection locked="0"/>
    </xf>
    <xf numFmtId="0" fontId="37" fillId="0" borderId="7" xfId="1" applyFont="1" applyFill="1" applyBorder="1" applyAlignment="1">
      <alignment horizontal="center" vertical="center" wrapText="1"/>
    </xf>
    <xf numFmtId="0" fontId="31" fillId="0" borderId="7" xfId="1" applyFont="1" applyFill="1" applyBorder="1" applyAlignment="1">
      <alignment horizontal="center" vertical="center" wrapText="1"/>
    </xf>
    <xf numFmtId="43" fontId="35" fillId="0" borderId="7" xfId="6" applyFont="1" applyBorder="1" applyAlignment="1" applyProtection="1">
      <alignment horizontal="center" vertical="center"/>
      <protection locked="0"/>
    </xf>
    <xf numFmtId="0" fontId="35" fillId="4" borderId="16" xfId="0" applyFont="1" applyFill="1" applyBorder="1" applyAlignment="1">
      <alignment horizontal="center" vertical="center"/>
    </xf>
    <xf numFmtId="0" fontId="35" fillId="0" borderId="6" xfId="1" applyFont="1" applyFill="1" applyBorder="1" applyAlignment="1">
      <alignment horizontal="center" vertical="center" wrapText="1"/>
    </xf>
    <xf numFmtId="0" fontId="30" fillId="2" borderId="26" xfId="1" applyFont="1" applyFill="1" applyBorder="1" applyAlignment="1">
      <alignment horizontal="left" vertical="center" wrapText="1"/>
    </xf>
    <xf numFmtId="0" fontId="40" fillId="2" borderId="27" xfId="1" applyFont="1" applyFill="1" applyBorder="1" applyAlignment="1">
      <alignment horizontal="center" wrapText="1"/>
    </xf>
    <xf numFmtId="3" fontId="33" fillId="2" borderId="0" xfId="4" applyNumberFormat="1" applyFont="1" applyFill="1" applyBorder="1" applyAlignment="1">
      <alignment horizontal="center"/>
    </xf>
    <xf numFmtId="3" fontId="33" fillId="2" borderId="0" xfId="4" applyNumberFormat="1" applyFont="1" applyFill="1" applyBorder="1" applyAlignment="1">
      <alignment horizontal="right"/>
    </xf>
    <xf numFmtId="0" fontId="83" fillId="5" borderId="6" xfId="0" applyFont="1" applyFill="1" applyBorder="1" applyAlignment="1" applyProtection="1">
      <alignment horizontal="center" vertical="center"/>
      <protection locked="0"/>
    </xf>
    <xf numFmtId="0" fontId="35" fillId="5" borderId="22" xfId="0" applyFont="1" applyFill="1" applyBorder="1" applyAlignment="1" applyProtection="1">
      <alignment horizontal="center" vertical="center"/>
      <protection locked="0"/>
    </xf>
    <xf numFmtId="164" fontId="37" fillId="0" borderId="7" xfId="0" applyNumberFormat="1" applyFont="1" applyBorder="1" applyAlignment="1" applyProtection="1">
      <alignment horizontal="center" vertical="center"/>
      <protection locked="0"/>
    </xf>
    <xf numFmtId="164" fontId="35" fillId="0" borderId="18" xfId="0" applyNumberFormat="1" applyFont="1" applyBorder="1" applyAlignment="1" applyProtection="1">
      <alignment horizontal="center"/>
      <protection locked="0"/>
    </xf>
    <xf numFmtId="164" fontId="41" fillId="0" borderId="0" xfId="0" applyNumberFormat="1" applyFont="1" applyProtection="1">
      <protection locked="0"/>
    </xf>
    <xf numFmtId="164" fontId="41" fillId="0" borderId="0" xfId="0" applyNumberFormat="1" applyFont="1" applyFill="1" applyAlignment="1" applyProtection="1">
      <alignment horizontal="center" vertical="center"/>
      <protection locked="0"/>
    </xf>
    <xf numFmtId="0" fontId="61" fillId="0" borderId="62" xfId="4" applyFont="1" applyFill="1" applyBorder="1" applyAlignment="1">
      <alignment horizontal="left" vertical="center"/>
    </xf>
    <xf numFmtId="0" fontId="61" fillId="0" borderId="59" xfId="4" applyFont="1" applyFill="1" applyBorder="1" applyAlignment="1">
      <alignment horizontal="left" vertical="center"/>
    </xf>
    <xf numFmtId="0" fontId="33" fillId="2" borderId="0" xfId="4" applyFont="1" applyFill="1" applyBorder="1" applyAlignment="1">
      <alignment vertical="center"/>
    </xf>
    <xf numFmtId="0" fontId="33" fillId="2" borderId="0" xfId="4" applyFont="1" applyFill="1" applyAlignment="1">
      <alignment vertical="center"/>
    </xf>
    <xf numFmtId="164" fontId="41" fillId="0" borderId="0" xfId="0" applyNumberFormat="1" applyFont="1" applyFill="1" applyProtection="1">
      <protection locked="0"/>
    </xf>
    <xf numFmtId="0" fontId="82" fillId="0" borderId="6" xfId="0" applyFont="1" applyFill="1" applyBorder="1" applyAlignment="1" applyProtection="1">
      <alignment horizontal="center" vertical="center"/>
      <protection locked="0"/>
    </xf>
    <xf numFmtId="0" fontId="35" fillId="0" borderId="18" xfId="0" applyFont="1" applyFill="1" applyBorder="1" applyProtection="1">
      <protection locked="0"/>
    </xf>
    <xf numFmtId="164" fontId="37" fillId="0" borderId="7" xfId="0" applyNumberFormat="1" applyFont="1" applyFill="1" applyBorder="1" applyAlignment="1" applyProtection="1">
      <alignment horizontal="center" vertical="center"/>
      <protection locked="0"/>
    </xf>
    <xf numFmtId="0" fontId="32" fillId="0" borderId="14" xfId="0" applyFont="1" applyBorder="1" applyAlignment="1" applyProtection="1">
      <alignment horizontal="center" vertical="center"/>
      <protection locked="0"/>
    </xf>
    <xf numFmtId="164" fontId="39" fillId="11" borderId="7" xfId="0" applyNumberFormat="1" applyFont="1" applyFill="1" applyBorder="1" applyAlignment="1" applyProtection="1">
      <alignment horizontal="center" vertical="center"/>
    </xf>
    <xf numFmtId="164" fontId="32" fillId="0" borderId="15" xfId="0" applyNumberFormat="1" applyFont="1" applyBorder="1" applyAlignment="1" applyProtection="1">
      <alignment horizontal="center" vertical="center"/>
      <protection locked="0"/>
    </xf>
    <xf numFmtId="2" fontId="32" fillId="4" borderId="15" xfId="0" applyNumberFormat="1" applyFont="1" applyFill="1" applyBorder="1" applyAlignment="1" applyProtection="1">
      <alignment horizontal="center" vertical="center" wrapText="1"/>
    </xf>
    <xf numFmtId="0" fontId="32" fillId="0" borderId="15" xfId="0" applyFont="1" applyBorder="1" applyProtection="1">
      <protection locked="0"/>
    </xf>
    <xf numFmtId="0" fontId="32" fillId="0" borderId="15" xfId="0" applyFont="1" applyBorder="1" applyAlignment="1" applyProtection="1">
      <alignment horizontal="center" vertical="center" wrapText="1"/>
      <protection locked="0"/>
    </xf>
    <xf numFmtId="0" fontId="32" fillId="0" borderId="69" xfId="0" applyFont="1" applyBorder="1" applyAlignment="1" applyProtection="1">
      <alignment horizontal="center" vertical="center" wrapText="1"/>
      <protection locked="0"/>
    </xf>
    <xf numFmtId="0" fontId="85" fillId="0" borderId="0" xfId="0" applyFont="1" applyProtection="1">
      <protection locked="0"/>
    </xf>
    <xf numFmtId="164" fontId="35" fillId="11" borderId="7" xfId="0" applyNumberFormat="1" applyFont="1" applyFill="1" applyBorder="1" applyAlignment="1" applyProtection="1">
      <alignment horizontal="center" vertical="center"/>
    </xf>
    <xf numFmtId="0" fontId="59" fillId="7" borderId="67" xfId="4" applyFont="1" applyFill="1" applyBorder="1" applyAlignment="1">
      <alignment vertical="center"/>
    </xf>
    <xf numFmtId="0" fontId="88" fillId="0" borderId="0" xfId="0" applyFont="1" applyFill="1" applyAlignment="1" applyProtection="1">
      <alignment horizontal="center" vertical="center"/>
      <protection locked="0"/>
    </xf>
    <xf numFmtId="0" fontId="43" fillId="0" borderId="0" xfId="0" applyFont="1" applyFill="1" applyAlignment="1" applyProtection="1">
      <alignment horizontal="center" vertical="center"/>
      <protection locked="0"/>
    </xf>
    <xf numFmtId="164" fontId="89" fillId="0" borderId="31" xfId="0" applyNumberFormat="1" applyFont="1" applyBorder="1" applyAlignment="1" applyProtection="1">
      <alignment horizontal="center" vertical="center"/>
      <protection locked="0"/>
    </xf>
    <xf numFmtId="164" fontId="89" fillId="0" borderId="7" xfId="0" applyNumberFormat="1" applyFont="1" applyBorder="1" applyAlignment="1" applyProtection="1">
      <alignment horizontal="center" vertical="center"/>
      <protection locked="0"/>
    </xf>
    <xf numFmtId="164" fontId="89" fillId="0" borderId="8" xfId="0" applyNumberFormat="1" applyFont="1" applyBorder="1" applyAlignment="1" applyProtection="1">
      <alignment horizontal="center" vertical="center"/>
      <protection locked="0"/>
    </xf>
    <xf numFmtId="0" fontId="35" fillId="0" borderId="7" xfId="0" applyFont="1" applyFill="1" applyBorder="1" applyAlignment="1" applyProtection="1">
      <alignment horizontal="center"/>
      <protection locked="0"/>
    </xf>
    <xf numFmtId="164" fontId="35" fillId="2" borderId="7" xfId="3" applyNumberFormat="1" applyFont="1" applyFill="1" applyBorder="1" applyAlignment="1">
      <alignment horizontal="center" vertical="center" wrapText="1"/>
    </xf>
    <xf numFmtId="4" fontId="38" fillId="2" borderId="0" xfId="4" applyNumberFormat="1" applyFont="1" applyFill="1" applyBorder="1" applyAlignment="1"/>
    <xf numFmtId="3" fontId="69" fillId="2" borderId="0" xfId="4" applyNumberFormat="1" applyFont="1" applyFill="1" applyBorder="1" applyAlignment="1"/>
    <xf numFmtId="3" fontId="69" fillId="7" borderId="0" xfId="4" applyNumberFormat="1" applyFont="1" applyFill="1" applyBorder="1" applyAlignment="1"/>
    <xf numFmtId="3" fontId="0" fillId="7" borderId="0" xfId="4" applyNumberFormat="1" applyFont="1" applyFill="1" applyBorder="1" applyAlignment="1"/>
    <xf numFmtId="3" fontId="0" fillId="2" borderId="0" xfId="4" applyNumberFormat="1" applyFont="1" applyFill="1" applyBorder="1" applyAlignment="1"/>
    <xf numFmtId="0" fontId="35" fillId="4" borderId="16" xfId="0" applyFont="1" applyFill="1" applyBorder="1" applyAlignment="1" applyProtection="1">
      <alignment horizontal="center" vertical="center" wrapText="1"/>
      <protection locked="0"/>
    </xf>
    <xf numFmtId="0" fontId="31" fillId="0" borderId="16" xfId="0" applyFont="1" applyBorder="1" applyAlignment="1" applyProtection="1">
      <alignment horizontal="center" vertical="center"/>
      <protection locked="0"/>
    </xf>
    <xf numFmtId="0" fontId="35" fillId="4" borderId="16" xfId="0" applyFont="1" applyFill="1" applyBorder="1" applyAlignment="1" applyProtection="1">
      <alignment horizontal="center" vertical="center"/>
      <protection locked="0"/>
    </xf>
    <xf numFmtId="164" fontId="35" fillId="2" borderId="16" xfId="0" applyNumberFormat="1" applyFont="1" applyFill="1" applyBorder="1" applyAlignment="1" applyProtection="1">
      <alignment horizontal="center" vertical="center"/>
      <protection locked="0"/>
    </xf>
    <xf numFmtId="164" fontId="35" fillId="0" borderId="18" xfId="3" applyNumberFormat="1" applyFont="1" applyFill="1" applyBorder="1" applyAlignment="1">
      <alignment horizontal="center" vertical="center" wrapText="1"/>
    </xf>
    <xf numFmtId="164" fontId="39" fillId="0" borderId="18" xfId="0" applyNumberFormat="1" applyFont="1" applyFill="1" applyBorder="1" applyAlignment="1" applyProtection="1">
      <alignment horizontal="center" vertical="center"/>
    </xf>
    <xf numFmtId="166" fontId="35" fillId="0" borderId="16" xfId="0" applyNumberFormat="1" applyFont="1" applyBorder="1" applyAlignment="1" applyProtection="1">
      <alignment horizontal="center" vertical="center"/>
      <protection locked="0"/>
    </xf>
    <xf numFmtId="164" fontId="37" fillId="0" borderId="18" xfId="0" applyNumberFormat="1" applyFont="1" applyBorder="1" applyAlignment="1" applyProtection="1">
      <alignment horizontal="center" vertical="center"/>
      <protection locked="0"/>
    </xf>
    <xf numFmtId="164" fontId="35" fillId="0" borderId="6" xfId="3" applyNumberFormat="1" applyFont="1" applyFill="1" applyBorder="1" applyAlignment="1">
      <alignment horizontal="center" vertical="center" wrapText="1"/>
    </xf>
    <xf numFmtId="164" fontId="39" fillId="0" borderId="6" xfId="0" applyNumberFormat="1" applyFont="1" applyFill="1" applyBorder="1" applyAlignment="1" applyProtection="1">
      <alignment horizontal="center" vertical="center"/>
    </xf>
    <xf numFmtId="166" fontId="35" fillId="0" borderId="16" xfId="0" applyNumberFormat="1" applyFont="1" applyFill="1" applyBorder="1" applyAlignment="1" applyProtection="1">
      <alignment horizontal="center" vertical="center"/>
      <protection locked="0"/>
    </xf>
    <xf numFmtId="164" fontId="37" fillId="0" borderId="6" xfId="0" applyNumberFormat="1" applyFont="1" applyBorder="1" applyAlignment="1" applyProtection="1">
      <alignment horizontal="center" vertical="center"/>
      <protection locked="0"/>
    </xf>
    <xf numFmtId="0" fontId="35" fillId="4" borderId="7" xfId="0" applyFont="1" applyFill="1" applyBorder="1" applyAlignment="1" applyProtection="1">
      <alignment horizontal="center" vertical="center" wrapText="1"/>
      <protection locked="0"/>
    </xf>
    <xf numFmtId="0" fontId="35" fillId="0" borderId="7" xfId="0" applyFont="1" applyFill="1" applyBorder="1" applyProtection="1">
      <protection locked="0"/>
    </xf>
    <xf numFmtId="164" fontId="39" fillId="5" borderId="7" xfId="0" applyNumberFormat="1" applyFont="1" applyFill="1" applyBorder="1" applyAlignment="1" applyProtection="1">
      <alignment horizontal="center" vertical="center"/>
    </xf>
    <xf numFmtId="164" fontId="35" fillId="0" borderId="7" xfId="0" applyNumberFormat="1" applyFont="1" applyBorder="1" applyAlignment="1">
      <alignment horizontal="center" vertical="center"/>
    </xf>
    <xf numFmtId="0" fontId="35" fillId="2" borderId="31" xfId="0" applyFont="1" applyFill="1" applyBorder="1" applyProtection="1">
      <protection locked="0"/>
    </xf>
    <xf numFmtId="166" fontId="35" fillId="2" borderId="31" xfId="0" applyNumberFormat="1" applyFont="1" applyFill="1" applyBorder="1" applyAlignment="1" applyProtection="1">
      <alignment horizontal="center" vertical="center"/>
      <protection locked="0"/>
    </xf>
    <xf numFmtId="164" fontId="37" fillId="0" borderId="31" xfId="0" applyNumberFormat="1" applyFont="1" applyBorder="1" applyAlignment="1" applyProtection="1">
      <alignment horizontal="center" vertical="center"/>
      <protection locked="0"/>
    </xf>
    <xf numFmtId="0" fontId="35" fillId="0" borderId="11" xfId="0" applyFont="1" applyFill="1" applyBorder="1" applyProtection="1">
      <protection locked="0"/>
    </xf>
    <xf numFmtId="166" fontId="35" fillId="0" borderId="8" xfId="0" applyNumberFormat="1" applyFont="1" applyFill="1" applyBorder="1" applyAlignment="1" applyProtection="1">
      <alignment horizontal="center" vertical="center"/>
      <protection locked="0"/>
    </xf>
    <xf numFmtId="164" fontId="37" fillId="0" borderId="8" xfId="0" applyNumberFormat="1" applyFont="1" applyBorder="1" applyAlignment="1" applyProtection="1">
      <alignment horizontal="center" vertical="center"/>
      <protection locked="0"/>
    </xf>
    <xf numFmtId="4" fontId="38" fillId="2" borderId="0" xfId="4" applyNumberFormat="1" applyFont="1" applyFill="1" applyBorder="1" applyAlignment="1">
      <alignment horizontal="center"/>
    </xf>
    <xf numFmtId="3" fontId="33" fillId="7" borderId="0" xfId="4" applyNumberFormat="1" applyFont="1" applyFill="1" applyBorder="1" applyAlignment="1">
      <alignment horizontal="center"/>
    </xf>
    <xf numFmtId="164" fontId="35" fillId="2" borderId="6" xfId="0" applyNumberFormat="1" applyFont="1" applyFill="1" applyBorder="1" applyAlignment="1">
      <alignment horizontal="center" vertical="center"/>
    </xf>
    <xf numFmtId="2" fontId="35" fillId="2" borderId="6" xfId="0" applyNumberFormat="1" applyFont="1" applyFill="1" applyBorder="1" applyAlignment="1" applyProtection="1">
      <alignment horizontal="center" vertical="center"/>
      <protection locked="0"/>
    </xf>
    <xf numFmtId="0" fontId="35" fillId="0" borderId="5" xfId="0" applyFont="1" applyBorder="1" applyAlignment="1" applyProtection="1">
      <alignment horizontal="center" vertical="center"/>
      <protection locked="0"/>
    </xf>
    <xf numFmtId="0" fontId="30" fillId="2" borderId="20" xfId="1" applyFont="1" applyFill="1" applyBorder="1" applyAlignment="1">
      <alignment horizontal="left" vertical="center" wrapText="1"/>
    </xf>
    <xf numFmtId="0" fontId="35" fillId="2" borderId="18" xfId="0" applyFont="1" applyFill="1" applyBorder="1" applyAlignment="1">
      <alignment horizontal="center" vertical="center"/>
    </xf>
    <xf numFmtId="0" fontId="35" fillId="0" borderId="18" xfId="0" applyFont="1" applyFill="1" applyBorder="1" applyAlignment="1" applyProtection="1">
      <alignment horizontal="center" vertical="center"/>
      <protection locked="0"/>
    </xf>
    <xf numFmtId="0" fontId="35" fillId="0" borderId="6" xfId="0" applyFont="1" applyFill="1" applyBorder="1" applyAlignment="1" applyProtection="1">
      <alignment horizontal="center" vertical="center"/>
      <protection locked="0"/>
    </xf>
    <xf numFmtId="164" fontId="35" fillId="2" borderId="18" xfId="0" applyNumberFormat="1" applyFont="1" applyFill="1" applyBorder="1" applyAlignment="1" applyProtection="1">
      <alignment horizontal="center" vertical="center"/>
      <protection locked="0"/>
    </xf>
    <xf numFmtId="164" fontId="35" fillId="2" borderId="6" xfId="0" applyNumberFormat="1" applyFont="1" applyFill="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35" fillId="0" borderId="6" xfId="0" applyFont="1" applyBorder="1" applyAlignment="1" applyProtection="1">
      <alignment horizontal="center" vertical="center"/>
      <protection locked="0"/>
    </xf>
    <xf numFmtId="0" fontId="35" fillId="2" borderId="6" xfId="0" applyFont="1" applyFill="1" applyBorder="1" applyAlignment="1" applyProtection="1">
      <alignment horizontal="center" vertical="center"/>
      <protection locked="0"/>
    </xf>
    <xf numFmtId="2" fontId="35" fillId="4" borderId="7" xfId="0" applyNumberFormat="1" applyFont="1" applyFill="1" applyBorder="1" applyAlignment="1" applyProtection="1">
      <alignment horizontal="center" vertical="center"/>
      <protection locked="0"/>
    </xf>
    <xf numFmtId="0" fontId="35" fillId="0" borderId="24" xfId="0" applyFont="1" applyBorder="1" applyProtection="1">
      <protection locked="0"/>
    </xf>
    <xf numFmtId="3" fontId="85" fillId="2" borderId="0" xfId="4" applyNumberFormat="1" applyFont="1" applyFill="1" applyBorder="1" applyAlignment="1">
      <alignment horizontal="center"/>
    </xf>
    <xf numFmtId="164" fontId="35" fillId="0" borderId="77" xfId="0" applyNumberFormat="1" applyFont="1" applyBorder="1" applyAlignment="1" applyProtection="1">
      <alignment horizontal="center" vertical="center"/>
      <protection locked="0"/>
    </xf>
    <xf numFmtId="164" fontId="35" fillId="0" borderId="79" xfId="0" applyNumberFormat="1" applyFont="1" applyBorder="1" applyAlignment="1" applyProtection="1">
      <alignment horizontal="center" vertical="center"/>
      <protection locked="0"/>
    </xf>
    <xf numFmtId="164" fontId="35" fillId="0" borderId="81" xfId="0" applyNumberFormat="1" applyFont="1" applyBorder="1" applyAlignment="1" applyProtection="1">
      <alignment horizontal="center" vertical="center"/>
      <protection locked="0"/>
    </xf>
    <xf numFmtId="0" fontId="32" fillId="0" borderId="34" xfId="0" applyFont="1" applyBorder="1" applyAlignment="1" applyProtection="1">
      <alignment horizontal="center" vertical="center" wrapText="1"/>
      <protection locked="0"/>
    </xf>
    <xf numFmtId="164" fontId="37" fillId="0" borderId="84" xfId="0" applyNumberFormat="1" applyFont="1" applyBorder="1" applyAlignment="1" applyProtection="1">
      <alignment horizontal="center" vertical="center"/>
      <protection locked="0"/>
    </xf>
    <xf numFmtId="164" fontId="35" fillId="0" borderId="84" xfId="0" applyNumberFormat="1" applyFont="1" applyFill="1" applyBorder="1" applyAlignment="1" applyProtection="1">
      <alignment horizontal="center" vertical="center"/>
    </xf>
    <xf numFmtId="0" fontId="37" fillId="0" borderId="83" xfId="0" applyFont="1" applyFill="1" applyBorder="1" applyAlignment="1" applyProtection="1">
      <alignment horizontal="center"/>
      <protection locked="0"/>
    </xf>
    <xf numFmtId="0" fontId="37" fillId="0" borderId="83" xfId="0" applyFont="1" applyBorder="1" applyAlignment="1" applyProtection="1">
      <alignment horizontal="center"/>
      <protection locked="0"/>
    </xf>
    <xf numFmtId="0" fontId="37" fillId="0" borderId="83" xfId="0" applyFont="1" applyBorder="1" applyAlignment="1" applyProtection="1">
      <protection locked="0"/>
    </xf>
    <xf numFmtId="0" fontId="35" fillId="0" borderId="83" xfId="0" applyFont="1" applyBorder="1" applyAlignment="1" applyProtection="1">
      <protection locked="0"/>
    </xf>
    <xf numFmtId="0" fontId="35" fillId="0" borderId="78" xfId="0" applyFont="1" applyBorder="1" applyAlignment="1" applyProtection="1">
      <protection locked="0"/>
    </xf>
    <xf numFmtId="0" fontId="35" fillId="0" borderId="70" xfId="0" applyFont="1" applyBorder="1" applyAlignment="1" applyProtection="1">
      <alignment horizontal="center" vertical="center"/>
      <protection locked="0"/>
    </xf>
    <xf numFmtId="164" fontId="35" fillId="0" borderId="32" xfId="0" applyNumberFormat="1" applyFont="1" applyBorder="1" applyAlignment="1" applyProtection="1">
      <alignment vertical="center"/>
      <protection locked="0"/>
    </xf>
    <xf numFmtId="164" fontId="35" fillId="0" borderId="32" xfId="0" applyNumberFormat="1" applyFont="1" applyBorder="1" applyAlignment="1" applyProtection="1">
      <protection locked="0"/>
    </xf>
    <xf numFmtId="164" fontId="35" fillId="0" borderId="32" xfId="0" applyNumberFormat="1" applyFont="1" applyBorder="1" applyAlignment="1" applyProtection="1">
      <alignment horizontal="center"/>
      <protection locked="0"/>
    </xf>
    <xf numFmtId="164" fontId="35" fillId="0" borderId="84" xfId="0" applyNumberFormat="1" applyFont="1" applyBorder="1" applyAlignment="1" applyProtection="1">
      <alignment horizontal="center"/>
      <protection locked="0"/>
    </xf>
    <xf numFmtId="0" fontId="35" fillId="0" borderId="75" xfId="0" applyFont="1" applyBorder="1" applyAlignment="1" applyProtection="1">
      <protection locked="0"/>
    </xf>
    <xf numFmtId="0" fontId="35" fillId="0" borderId="32" xfId="0" applyFont="1" applyBorder="1" applyAlignment="1" applyProtection="1">
      <alignment horizontal="center"/>
      <protection locked="0"/>
    </xf>
    <xf numFmtId="0" fontId="49" fillId="0" borderId="7" xfId="0" applyFont="1" applyBorder="1" applyAlignment="1" applyProtection="1">
      <alignment horizontal="center" vertical="center"/>
      <protection locked="0"/>
    </xf>
    <xf numFmtId="0" fontId="49" fillId="4" borderId="7" xfId="0" applyFont="1" applyFill="1" applyBorder="1" applyAlignment="1" applyProtection="1">
      <alignment horizontal="center" vertical="center"/>
      <protection locked="0"/>
    </xf>
    <xf numFmtId="168" fontId="51" fillId="2" borderId="7" xfId="0" applyNumberFormat="1" applyFont="1" applyFill="1" applyBorder="1" applyAlignment="1" applyProtection="1">
      <alignment horizontal="center" vertical="center"/>
      <protection locked="0"/>
    </xf>
    <xf numFmtId="168" fontId="51" fillId="0" borderId="7" xfId="0" applyNumberFormat="1" applyFont="1" applyBorder="1" applyAlignment="1" applyProtection="1">
      <alignment horizontal="center" vertical="center"/>
      <protection locked="0"/>
    </xf>
    <xf numFmtId="168" fontId="51" fillId="0" borderId="7" xfId="0" applyNumberFormat="1" applyFont="1" applyBorder="1" applyAlignment="1">
      <alignment horizontal="center" vertical="center"/>
    </xf>
    <xf numFmtId="0" fontId="48" fillId="7" borderId="33" xfId="0" applyFont="1" applyFill="1" applyBorder="1" applyAlignment="1" applyProtection="1">
      <alignment horizontal="center" vertical="center"/>
      <protection locked="0"/>
    </xf>
    <xf numFmtId="0" fontId="48" fillId="7" borderId="72" xfId="0" applyFont="1" applyFill="1" applyBorder="1" applyAlignment="1" applyProtection="1">
      <alignment horizontal="center" vertical="center"/>
      <protection locked="0"/>
    </xf>
    <xf numFmtId="168" fontId="51" fillId="2" borderId="8" xfId="0" applyNumberFormat="1" applyFont="1" applyFill="1" applyBorder="1" applyAlignment="1">
      <alignment horizontal="center" vertical="center"/>
    </xf>
    <xf numFmtId="164" fontId="90" fillId="0" borderId="7" xfId="3" applyNumberFormat="1" applyFont="1" applyFill="1" applyBorder="1" applyAlignment="1">
      <alignment horizontal="center" vertical="center" wrapText="1"/>
    </xf>
    <xf numFmtId="2" fontId="47" fillId="5" borderId="6" xfId="0" applyNumberFormat="1" applyFont="1" applyFill="1" applyBorder="1" applyAlignment="1" applyProtection="1">
      <alignment horizontal="center" vertical="center"/>
    </xf>
    <xf numFmtId="3" fontId="33" fillId="2" borderId="0" xfId="4" applyNumberFormat="1" applyFont="1" applyFill="1" applyBorder="1" applyAlignment="1">
      <alignment horizontal="center"/>
    </xf>
    <xf numFmtId="4" fontId="38" fillId="2" borderId="0" xfId="4" applyNumberFormat="1" applyFont="1" applyFill="1" applyBorder="1" applyAlignment="1">
      <alignment horizontal="center"/>
    </xf>
    <xf numFmtId="3" fontId="33" fillId="7" borderId="0" xfId="4" applyNumberFormat="1" applyFont="1" applyFill="1" applyBorder="1" applyAlignment="1">
      <alignment horizontal="center"/>
    </xf>
    <xf numFmtId="0" fontId="35" fillId="0" borderId="18" xfId="0" applyFont="1" applyBorder="1" applyAlignment="1" applyProtection="1">
      <alignment horizontal="center" vertical="center"/>
      <protection locked="0"/>
    </xf>
    <xf numFmtId="0" fontId="31" fillId="0" borderId="6" xfId="0" applyFont="1" applyBorder="1" applyAlignment="1" applyProtection="1">
      <alignment horizontal="center" vertical="center"/>
      <protection locked="0"/>
    </xf>
    <xf numFmtId="0" fontId="0" fillId="0" borderId="0" xfId="0" applyProtection="1">
      <protection locked="0"/>
    </xf>
    <xf numFmtId="0" fontId="35" fillId="0" borderId="83" xfId="0" applyFont="1" applyBorder="1" applyProtection="1">
      <protection locked="0"/>
    </xf>
    <xf numFmtId="164" fontId="35" fillId="0" borderId="7" xfId="2" applyNumberFormat="1" applyFont="1" applyBorder="1" applyAlignment="1">
      <alignment horizontal="center" vertical="center" wrapText="1"/>
    </xf>
    <xf numFmtId="164" fontId="35" fillId="0" borderId="7" xfId="3" applyNumberFormat="1" applyFont="1" applyBorder="1" applyAlignment="1">
      <alignment horizontal="center" vertical="center" wrapText="1"/>
    </xf>
    <xf numFmtId="164" fontId="39" fillId="0" borderId="7" xfId="0" applyNumberFormat="1" applyFont="1" applyBorder="1" applyAlignment="1">
      <alignment horizontal="center" vertical="center"/>
    </xf>
    <xf numFmtId="0" fontId="42" fillId="0" borderId="0" xfId="0" applyFont="1" applyAlignment="1">
      <alignment horizontal="center" vertical="center" wrapText="1"/>
    </xf>
    <xf numFmtId="0" fontId="43" fillId="0" borderId="0" xfId="0" applyFont="1" applyAlignment="1" applyProtection="1">
      <alignment horizontal="center" vertical="center"/>
      <protection locked="0"/>
    </xf>
    <xf numFmtId="2" fontId="0" fillId="0" borderId="0" xfId="0" applyNumberFormat="1" applyAlignment="1" applyProtection="1">
      <alignment horizontal="center" vertical="center"/>
      <protection locked="0"/>
    </xf>
    <xf numFmtId="164" fontId="0" fillId="2" borderId="0" xfId="0" applyNumberFormat="1" applyFill="1" applyAlignment="1" applyProtection="1">
      <alignment horizontal="center" vertical="center"/>
      <protection locked="0"/>
    </xf>
    <xf numFmtId="0" fontId="91" fillId="0" borderId="7" xfId="0" applyFont="1" applyFill="1" applyBorder="1" applyAlignment="1" applyProtection="1">
      <alignment horizontal="center" vertical="center"/>
      <protection locked="0"/>
    </xf>
    <xf numFmtId="0" fontId="92" fillId="0" borderId="7" xfId="0" applyFont="1" applyFill="1" applyBorder="1" applyAlignment="1" applyProtection="1">
      <alignment horizontal="center" vertical="center"/>
      <protection locked="0"/>
    </xf>
    <xf numFmtId="3" fontId="59" fillId="2" borderId="0" xfId="4" applyNumberFormat="1" applyFont="1" applyFill="1" applyBorder="1" applyAlignment="1">
      <alignment horizontal="center"/>
    </xf>
    <xf numFmtId="0" fontId="32" fillId="0" borderId="14" xfId="0" applyFont="1" applyBorder="1" applyAlignment="1" applyProtection="1">
      <alignment horizontal="center" vertical="center" wrapText="1"/>
      <protection locked="0"/>
    </xf>
    <xf numFmtId="164" fontId="49" fillId="7" borderId="1" xfId="0" applyNumberFormat="1" applyFont="1" applyFill="1" applyBorder="1" applyAlignment="1" applyProtection="1">
      <alignment horizontal="left" vertical="center"/>
      <protection locked="0"/>
    </xf>
    <xf numFmtId="164" fontId="49" fillId="7" borderId="2" xfId="0" applyNumberFormat="1" applyFont="1" applyFill="1" applyBorder="1" applyAlignment="1" applyProtection="1">
      <alignment horizontal="left" vertical="center"/>
      <protection locked="0"/>
    </xf>
    <xf numFmtId="164" fontId="49" fillId="7" borderId="32" xfId="0" applyNumberFormat="1" applyFont="1" applyFill="1" applyBorder="1" applyAlignment="1" applyProtection="1">
      <alignment horizontal="left" vertical="center"/>
      <protection locked="0"/>
    </xf>
    <xf numFmtId="164" fontId="49" fillId="7" borderId="29" xfId="0" applyNumberFormat="1" applyFont="1" applyFill="1" applyBorder="1" applyAlignment="1" applyProtection="1">
      <alignment horizontal="left" vertical="center"/>
      <protection locked="0"/>
    </xf>
    <xf numFmtId="164" fontId="49" fillId="7" borderId="85" xfId="0" applyNumberFormat="1" applyFont="1" applyFill="1" applyBorder="1" applyAlignment="1" applyProtection="1">
      <alignment horizontal="left" vertical="center"/>
      <protection locked="0"/>
    </xf>
    <xf numFmtId="164" fontId="49" fillId="7" borderId="71" xfId="0" applyNumberFormat="1" applyFont="1" applyFill="1" applyBorder="1" applyAlignment="1" applyProtection="1">
      <alignment horizontal="left" vertical="center"/>
      <protection locked="0"/>
    </xf>
    <xf numFmtId="0" fontId="1" fillId="0" borderId="1" xfId="0" applyFont="1" applyFill="1" applyBorder="1" applyAlignment="1" applyProtection="1">
      <alignment horizontal="left" vertical="center"/>
      <protection locked="0"/>
    </xf>
    <xf numFmtId="0" fontId="30" fillId="0" borderId="2" xfId="0" applyFont="1" applyFill="1" applyBorder="1" applyAlignment="1" applyProtection="1">
      <alignment horizontal="left" vertical="center"/>
      <protection locked="0"/>
    </xf>
    <xf numFmtId="0" fontId="30" fillId="0" borderId="3" xfId="0" applyFont="1" applyFill="1" applyBorder="1" applyAlignment="1" applyProtection="1">
      <alignment horizontal="left" vertical="center"/>
      <protection locked="0"/>
    </xf>
    <xf numFmtId="0" fontId="11" fillId="0" borderId="1" xfId="0" applyFont="1" applyFill="1" applyBorder="1" applyAlignment="1" applyProtection="1">
      <alignment horizontal="left" vertical="center"/>
      <protection locked="0"/>
    </xf>
    <xf numFmtId="0" fontId="16" fillId="0" borderId="1" xfId="0" applyFont="1" applyFill="1" applyBorder="1" applyAlignment="1" applyProtection="1">
      <alignment horizontal="left" vertical="center"/>
      <protection locked="0"/>
    </xf>
    <xf numFmtId="0" fontId="52" fillId="0" borderId="0" xfId="0" applyFont="1" applyFill="1" applyBorder="1" applyAlignment="1" applyProtection="1">
      <alignment horizontal="left" vertical="center"/>
      <protection locked="0"/>
    </xf>
    <xf numFmtId="0" fontId="49" fillId="0" borderId="8" xfId="0" applyFont="1" applyBorder="1" applyAlignment="1" applyProtection="1">
      <alignment horizontal="left" vertical="center"/>
      <protection locked="0"/>
    </xf>
    <xf numFmtId="0" fontId="50" fillId="8" borderId="8" xfId="0" applyFont="1" applyFill="1" applyBorder="1" applyAlignment="1" applyProtection="1">
      <alignment horizontal="center" vertical="center"/>
      <protection locked="0"/>
    </xf>
    <xf numFmtId="164" fontId="48" fillId="7" borderId="8" xfId="0" applyNumberFormat="1" applyFont="1" applyFill="1" applyBorder="1" applyAlignment="1" applyProtection="1">
      <alignment horizontal="center" vertical="center"/>
      <protection locked="0"/>
    </xf>
    <xf numFmtId="170" fontId="49" fillId="0" borderId="8" xfId="0" applyNumberFormat="1" applyFont="1" applyBorder="1" applyAlignment="1" applyProtection="1">
      <alignment horizontal="center" vertical="center"/>
      <protection locked="0"/>
    </xf>
    <xf numFmtId="0" fontId="49" fillId="0" borderId="7" xfId="0" applyFont="1" applyBorder="1" applyAlignment="1" applyProtection="1">
      <alignment horizontal="center" vertical="center"/>
      <protection locked="0"/>
    </xf>
    <xf numFmtId="164" fontId="48" fillId="7" borderId="7" xfId="0" applyNumberFormat="1" applyFont="1" applyFill="1" applyBorder="1" applyAlignment="1" applyProtection="1">
      <alignment horizontal="center" vertical="center"/>
      <protection locked="0"/>
    </xf>
    <xf numFmtId="170" fontId="49" fillId="4" borderId="7" xfId="0" applyNumberFormat="1" applyFont="1" applyFill="1" applyBorder="1" applyAlignment="1" applyProtection="1">
      <alignment horizontal="center" vertical="center"/>
      <protection locked="0"/>
    </xf>
    <xf numFmtId="0" fontId="50" fillId="8" borderId="7" xfId="0" applyFont="1" applyFill="1" applyBorder="1" applyAlignment="1" applyProtection="1">
      <alignment horizontal="center" vertical="center"/>
      <protection locked="0"/>
    </xf>
    <xf numFmtId="3" fontId="49" fillId="2" borderId="7" xfId="0" applyNumberFormat="1" applyFont="1" applyFill="1" applyBorder="1" applyAlignment="1" applyProtection="1">
      <alignment horizontal="center" vertical="center" wrapText="1"/>
      <protection locked="0"/>
    </xf>
    <xf numFmtId="169" fontId="49" fillId="0" borderId="7" xfId="0" applyNumberFormat="1" applyFont="1" applyBorder="1" applyAlignment="1" applyProtection="1">
      <alignment horizontal="center" vertical="center"/>
      <protection locked="0"/>
    </xf>
    <xf numFmtId="164" fontId="50" fillId="7" borderId="7" xfId="0" applyNumberFormat="1" applyFont="1" applyFill="1" applyBorder="1" applyAlignment="1" applyProtection="1">
      <alignment horizontal="center" vertical="center"/>
      <protection locked="0"/>
    </xf>
    <xf numFmtId="167" fontId="49" fillId="0" borderId="7" xfId="0" applyNumberFormat="1" applyFont="1" applyBorder="1" applyAlignment="1" applyProtection="1">
      <alignment horizontal="center" vertical="center" wrapText="1"/>
      <protection locked="0"/>
    </xf>
    <xf numFmtId="166" fontId="49" fillId="0" borderId="7" xfId="0" applyNumberFormat="1" applyFont="1" applyBorder="1" applyAlignment="1">
      <alignment horizontal="center" vertical="center"/>
    </xf>
    <xf numFmtId="171" fontId="49" fillId="0" borderId="7" xfId="0" applyNumberFormat="1" applyFont="1" applyBorder="1" applyAlignment="1">
      <alignment horizontal="center" vertical="center"/>
    </xf>
    <xf numFmtId="166" fontId="49" fillId="0" borderId="7" xfId="0" applyNumberFormat="1" applyFont="1" applyBorder="1" applyAlignment="1" applyProtection="1">
      <alignment horizontal="center" vertical="center"/>
      <protection locked="0"/>
    </xf>
    <xf numFmtId="0" fontId="35" fillId="0" borderId="24" xfId="0" applyFont="1" applyBorder="1" applyAlignment="1" applyProtection="1">
      <alignment horizontal="center"/>
      <protection locked="0"/>
    </xf>
    <xf numFmtId="0" fontId="49" fillId="0" borderId="7" xfId="0" applyFont="1" applyBorder="1" applyAlignment="1" applyProtection="1">
      <alignment horizontal="center" vertical="center" wrapText="1"/>
      <protection locked="0"/>
    </xf>
    <xf numFmtId="0" fontId="50" fillId="7" borderId="7" xfId="0" applyFont="1" applyFill="1" applyBorder="1" applyAlignment="1" applyProtection="1">
      <alignment horizontal="center" vertical="center"/>
      <protection locked="0"/>
    </xf>
    <xf numFmtId="2" fontId="49" fillId="0" borderId="7" xfId="0" applyNumberFormat="1" applyFont="1" applyBorder="1" applyAlignment="1" applyProtection="1">
      <alignment horizontal="center" vertical="center"/>
      <protection locked="0"/>
    </xf>
    <xf numFmtId="0" fontId="29" fillId="0" borderId="28" xfId="0" applyFont="1" applyFill="1" applyBorder="1" applyAlignment="1" applyProtection="1">
      <alignment horizontal="left" vertical="center"/>
      <protection locked="0"/>
    </xf>
    <xf numFmtId="0" fontId="30" fillId="0" borderId="24" xfId="0" applyFont="1" applyFill="1" applyBorder="1" applyAlignment="1" applyProtection="1">
      <alignment horizontal="left" vertical="center"/>
      <protection locked="0"/>
    </xf>
    <xf numFmtId="0" fontId="30" fillId="0" borderId="17" xfId="0" applyFont="1" applyFill="1" applyBorder="1" applyAlignment="1" applyProtection="1">
      <alignment horizontal="left" vertical="center"/>
      <protection locked="0"/>
    </xf>
    <xf numFmtId="0" fontId="15" fillId="0" borderId="1" xfId="0" applyFont="1" applyFill="1" applyBorder="1" applyAlignment="1" applyProtection="1">
      <alignment vertical="center"/>
      <protection locked="0"/>
    </xf>
    <xf numFmtId="0" fontId="30" fillId="0" borderId="2" xfId="0" applyFont="1" applyFill="1" applyBorder="1" applyAlignment="1" applyProtection="1">
      <alignment vertical="center"/>
      <protection locked="0"/>
    </xf>
    <xf numFmtId="0" fontId="30" fillId="0" borderId="3" xfId="0" applyFont="1" applyFill="1" applyBorder="1" applyAlignment="1" applyProtection="1">
      <alignment vertical="center"/>
      <protection locked="0"/>
    </xf>
    <xf numFmtId="0" fontId="30" fillId="0" borderId="1" xfId="0" applyFont="1" applyFill="1" applyBorder="1" applyAlignment="1" applyProtection="1">
      <alignment vertical="center"/>
      <protection locked="0"/>
    </xf>
    <xf numFmtId="164" fontId="32" fillId="4" borderId="1" xfId="0" applyNumberFormat="1" applyFont="1" applyFill="1" applyBorder="1" applyAlignment="1" applyProtection="1">
      <alignment horizontal="left" vertical="center"/>
    </xf>
    <xf numFmtId="164" fontId="32" fillId="4" borderId="2" xfId="0" applyNumberFormat="1" applyFont="1" applyFill="1" applyBorder="1" applyAlignment="1" applyProtection="1">
      <alignment horizontal="left" vertical="center"/>
    </xf>
    <xf numFmtId="164" fontId="32" fillId="4" borderId="3" xfId="0" applyNumberFormat="1" applyFont="1" applyFill="1" applyBorder="1" applyAlignment="1" applyProtection="1">
      <alignment horizontal="left" vertical="center"/>
    </xf>
    <xf numFmtId="164" fontId="86" fillId="4" borderId="1" xfId="0" applyNumberFormat="1" applyFont="1" applyFill="1" applyBorder="1" applyAlignment="1" applyProtection="1">
      <alignment horizontal="right" vertical="center"/>
    </xf>
    <xf numFmtId="164" fontId="86" fillId="4" borderId="2" xfId="0" applyNumberFormat="1" applyFont="1" applyFill="1" applyBorder="1" applyAlignment="1" applyProtection="1">
      <alignment horizontal="right" vertical="center"/>
    </xf>
    <xf numFmtId="164" fontId="86" fillId="4" borderId="3" xfId="0" applyNumberFormat="1" applyFont="1" applyFill="1" applyBorder="1" applyAlignment="1" applyProtection="1">
      <alignment horizontal="right" vertical="center"/>
    </xf>
    <xf numFmtId="0" fontId="45" fillId="0" borderId="1" xfId="0" applyFont="1" applyFill="1" applyBorder="1" applyAlignment="1" applyProtection="1">
      <alignment vertical="center"/>
      <protection locked="0"/>
    </xf>
    <xf numFmtId="0" fontId="45" fillId="0" borderId="2" xfId="0" applyFont="1" applyFill="1" applyBorder="1" applyAlignment="1" applyProtection="1">
      <alignment vertical="center"/>
      <protection locked="0"/>
    </xf>
    <xf numFmtId="0" fontId="45" fillId="0" borderId="3" xfId="0" applyFont="1" applyFill="1" applyBorder="1" applyAlignment="1" applyProtection="1">
      <alignment vertical="center"/>
      <protection locked="0"/>
    </xf>
    <xf numFmtId="0" fontId="15" fillId="0" borderId="1" xfId="0" applyFont="1" applyFill="1" applyBorder="1" applyAlignment="1" applyProtection="1">
      <alignment horizontal="left" vertical="center"/>
      <protection locked="0"/>
    </xf>
    <xf numFmtId="0" fontId="21" fillId="0" borderId="1" xfId="0" applyFont="1" applyFill="1" applyBorder="1" applyAlignment="1" applyProtection="1">
      <alignment horizontal="left" vertical="center"/>
      <protection locked="0"/>
    </xf>
    <xf numFmtId="164" fontId="35" fillId="2" borderId="18" xfId="0" applyNumberFormat="1" applyFont="1" applyFill="1" applyBorder="1" applyAlignment="1" applyProtection="1">
      <alignment horizontal="center" vertical="center"/>
      <protection locked="0"/>
    </xf>
    <xf numFmtId="164" fontId="35" fillId="2" borderId="6" xfId="0" applyNumberFormat="1" applyFont="1" applyFill="1" applyBorder="1" applyAlignment="1" applyProtection="1">
      <alignment horizontal="center" vertical="center"/>
      <protection locked="0"/>
    </xf>
    <xf numFmtId="0" fontId="30" fillId="2" borderId="1" xfId="0" applyFont="1" applyFill="1" applyBorder="1" applyAlignment="1" applyProtection="1">
      <alignment horizontal="left" vertical="center" wrapText="1"/>
      <protection locked="0"/>
    </xf>
    <xf numFmtId="0" fontId="30" fillId="2" borderId="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45" fillId="2" borderId="7" xfId="0" applyFont="1" applyFill="1" applyBorder="1" applyAlignment="1" applyProtection="1">
      <alignment vertical="center"/>
      <protection locked="0"/>
    </xf>
    <xf numFmtId="0" fontId="45" fillId="0" borderId="1" xfId="0" applyFont="1" applyBorder="1" applyAlignment="1" applyProtection="1">
      <alignment vertical="center"/>
      <protection locked="0"/>
    </xf>
    <xf numFmtId="0" fontId="45" fillId="0" borderId="2" xfId="0" applyFont="1" applyBorder="1" applyAlignment="1" applyProtection="1">
      <alignment vertical="center"/>
      <protection locked="0"/>
    </xf>
    <xf numFmtId="0" fontId="45" fillId="0" borderId="3" xfId="0" applyFont="1" applyBorder="1" applyAlignment="1" applyProtection="1">
      <alignment vertical="center"/>
      <protection locked="0"/>
    </xf>
    <xf numFmtId="0" fontId="35" fillId="0" borderId="18" xfId="0" applyFont="1" applyBorder="1" applyAlignment="1" applyProtection="1">
      <alignment horizontal="center" vertical="center"/>
      <protection locked="0"/>
    </xf>
    <xf numFmtId="0" fontId="35" fillId="0" borderId="6" xfId="0" applyFont="1" applyBorder="1" applyAlignment="1" applyProtection="1">
      <alignment horizontal="center" vertical="center"/>
      <protection locked="0"/>
    </xf>
    <xf numFmtId="0" fontId="31" fillId="0" borderId="18" xfId="0" applyFont="1" applyBorder="1" applyAlignment="1" applyProtection="1">
      <alignment horizontal="center" vertical="center"/>
      <protection locked="0"/>
    </xf>
    <xf numFmtId="0" fontId="31" fillId="0" borderId="6" xfId="0" applyFont="1" applyBorder="1" applyAlignment="1" applyProtection="1">
      <alignment horizontal="center" vertical="center"/>
      <protection locked="0"/>
    </xf>
    <xf numFmtId="0" fontId="35" fillId="2" borderId="18" xfId="0" applyFont="1" applyFill="1" applyBorder="1" applyAlignment="1" applyProtection="1">
      <alignment horizontal="center" vertical="center"/>
      <protection locked="0"/>
    </xf>
    <xf numFmtId="0" fontId="35" fillId="2" borderId="6" xfId="0" applyFont="1" applyFill="1" applyBorder="1" applyAlignment="1" applyProtection="1">
      <alignment horizontal="center" vertical="center"/>
      <protection locked="0"/>
    </xf>
    <xf numFmtId="0" fontId="35" fillId="2" borderId="28" xfId="1" applyFont="1" applyFill="1" applyBorder="1" applyAlignment="1">
      <alignment horizontal="left" vertical="center" wrapText="1"/>
    </xf>
    <xf numFmtId="0" fontId="35" fillId="2" borderId="24" xfId="1" applyFont="1" applyFill="1" applyBorder="1" applyAlignment="1">
      <alignment horizontal="left" vertical="center" wrapText="1"/>
    </xf>
    <xf numFmtId="0" fontId="8" fillId="0" borderId="1" xfId="1" applyFont="1" applyFill="1" applyBorder="1" applyAlignment="1">
      <alignment horizontal="left" vertical="center" wrapText="1" shrinkToFit="1"/>
    </xf>
    <xf numFmtId="0" fontId="30" fillId="0" borderId="3" xfId="1" applyFont="1" applyFill="1" applyBorder="1" applyAlignment="1">
      <alignment horizontal="left" vertical="center" wrapText="1" shrinkToFit="1"/>
    </xf>
    <xf numFmtId="0" fontId="30" fillId="2" borderId="7" xfId="0" applyFont="1" applyFill="1" applyBorder="1" applyAlignment="1" applyProtection="1">
      <alignment horizontal="left" vertical="center" wrapText="1"/>
      <protection locked="0"/>
    </xf>
    <xf numFmtId="0" fontId="30" fillId="2" borderId="6" xfId="0" applyFont="1" applyFill="1" applyBorder="1" applyAlignment="1" applyProtection="1">
      <alignment horizontal="left" vertical="center"/>
      <protection locked="0"/>
    </xf>
    <xf numFmtId="0" fontId="30" fillId="0" borderId="6" xfId="0" applyFont="1" applyBorder="1" applyAlignment="1">
      <alignment vertical="center"/>
    </xf>
    <xf numFmtId="0" fontId="30" fillId="2" borderId="16" xfId="0" applyFont="1" applyFill="1" applyBorder="1" applyAlignment="1" applyProtection="1">
      <alignment horizontal="left" vertical="center"/>
      <protection locked="0"/>
    </xf>
    <xf numFmtId="0" fontId="30" fillId="2" borderId="16" xfId="0" applyFont="1" applyFill="1" applyBorder="1" applyAlignment="1"/>
    <xf numFmtId="4" fontId="24" fillId="2" borderId="1" xfId="3" applyFont="1" applyFill="1" applyBorder="1" applyAlignment="1">
      <alignment horizontal="left" vertical="center" wrapText="1"/>
    </xf>
    <xf numFmtId="4" fontId="30" fillId="2" borderId="2" xfId="3" applyFont="1" applyFill="1" applyBorder="1" applyAlignment="1">
      <alignment horizontal="left" vertical="center" wrapText="1"/>
    </xf>
    <xf numFmtId="4" fontId="30" fillId="2" borderId="3" xfId="3" applyFont="1" applyFill="1" applyBorder="1" applyAlignment="1">
      <alignment horizontal="left" vertical="center" wrapText="1"/>
    </xf>
    <xf numFmtId="4" fontId="6" fillId="0" borderId="1" xfId="3" applyFont="1" applyFill="1" applyBorder="1" applyAlignment="1">
      <alignment horizontal="left" vertical="center" wrapText="1"/>
    </xf>
    <xf numFmtId="4" fontId="30" fillId="0" borderId="3" xfId="3" applyFont="1" applyFill="1" applyBorder="1" applyAlignment="1">
      <alignment horizontal="left" vertical="center" wrapText="1"/>
    </xf>
    <xf numFmtId="4" fontId="30" fillId="0" borderId="1" xfId="3" applyFont="1" applyFill="1" applyBorder="1" applyAlignment="1">
      <alignment horizontal="left" vertical="center"/>
    </xf>
    <xf numFmtId="4" fontId="30" fillId="0" borderId="2" xfId="3" applyFont="1" applyFill="1" applyBorder="1" applyAlignment="1">
      <alignment horizontal="left" vertical="center"/>
    </xf>
    <xf numFmtId="4" fontId="30" fillId="0" borderId="3" xfId="3" applyFont="1" applyFill="1" applyBorder="1" applyAlignment="1">
      <alignment horizontal="left" vertical="center"/>
    </xf>
    <xf numFmtId="0" fontId="5" fillId="0" borderId="1" xfId="2" applyFont="1" applyFill="1" applyBorder="1" applyAlignment="1">
      <alignment horizontal="left" vertical="center"/>
    </xf>
    <xf numFmtId="0" fontId="30" fillId="0" borderId="3" xfId="2" applyFont="1" applyFill="1" applyBorder="1" applyAlignment="1">
      <alignment horizontal="left" vertical="center"/>
    </xf>
    <xf numFmtId="0" fontId="35" fillId="0" borderId="1" xfId="1" applyFont="1" applyFill="1" applyBorder="1" applyAlignment="1">
      <alignment horizontal="left" vertical="center" wrapText="1" shrinkToFit="1"/>
    </xf>
    <xf numFmtId="0" fontId="35" fillId="0" borderId="3" xfId="1" applyFont="1" applyFill="1" applyBorder="1" applyAlignment="1">
      <alignment horizontal="left" vertical="center" wrapText="1" shrinkToFit="1"/>
    </xf>
    <xf numFmtId="0" fontId="30" fillId="2" borderId="7" xfId="0" applyFont="1" applyFill="1" applyBorder="1" applyAlignment="1" applyProtection="1">
      <alignment horizontal="left" vertical="center"/>
      <protection locked="0"/>
    </xf>
    <xf numFmtId="0" fontId="30" fillId="2" borderId="7" xfId="0" applyFont="1" applyFill="1" applyBorder="1" applyAlignment="1"/>
    <xf numFmtId="0" fontId="5" fillId="2" borderId="7" xfId="2" applyFont="1" applyFill="1" applyBorder="1" applyAlignment="1">
      <alignment horizontal="left" vertical="center" wrapText="1"/>
    </xf>
    <xf numFmtId="0" fontId="30" fillId="2" borderId="7" xfId="2" applyFont="1" applyFill="1" applyBorder="1" applyAlignment="1">
      <alignment horizontal="left" vertical="center" wrapText="1"/>
    </xf>
    <xf numFmtId="0" fontId="23" fillId="0" borderId="7" xfId="2" applyFont="1" applyFill="1" applyBorder="1" applyAlignment="1">
      <alignment horizontal="left" vertical="center"/>
    </xf>
    <xf numFmtId="0" fontId="30" fillId="0" borderId="7" xfId="2" applyFont="1" applyFill="1" applyBorder="1" applyAlignment="1">
      <alignment horizontal="left" vertical="center"/>
    </xf>
    <xf numFmtId="0" fontId="19" fillId="2" borderId="16" xfId="0" applyFont="1" applyFill="1" applyBorder="1" applyAlignment="1" applyProtection="1">
      <alignment horizontal="left" vertical="center"/>
      <protection locked="0"/>
    </xf>
    <xf numFmtId="0" fontId="30" fillId="0" borderId="16" xfId="0" applyFont="1" applyBorder="1" applyAlignment="1">
      <alignment vertical="center"/>
    </xf>
    <xf numFmtId="0" fontId="30" fillId="0" borderId="7" xfId="0" applyFont="1" applyBorder="1" applyAlignment="1">
      <alignment vertical="center"/>
    </xf>
    <xf numFmtId="0" fontId="35" fillId="0" borderId="18" xfId="0" applyFont="1" applyFill="1" applyBorder="1" applyAlignment="1" applyProtection="1">
      <alignment horizontal="center" vertical="center"/>
      <protection locked="0"/>
    </xf>
    <xf numFmtId="0" fontId="35" fillId="0" borderId="6" xfId="0" applyFont="1" applyFill="1" applyBorder="1" applyAlignment="1" applyProtection="1">
      <alignment horizontal="center" vertical="center"/>
      <protection locked="0"/>
    </xf>
    <xf numFmtId="0" fontId="18" fillId="0" borderId="1" xfId="0" applyFont="1" applyFill="1" applyBorder="1" applyAlignment="1" applyProtection="1">
      <alignment horizontal="left" vertical="center"/>
      <protection locked="0"/>
    </xf>
    <xf numFmtId="0" fontId="2" fillId="0" borderId="1" xfId="0" applyFont="1" applyFill="1" applyBorder="1" applyAlignment="1" applyProtection="1">
      <alignment horizontal="left" vertical="center"/>
      <protection locked="0"/>
    </xf>
    <xf numFmtId="0" fontId="17" fillId="0" borderId="7" xfId="0" applyFont="1" applyFill="1" applyBorder="1" applyAlignment="1" applyProtection="1">
      <alignment horizontal="left" vertical="center"/>
      <protection locked="0"/>
    </xf>
    <xf numFmtId="0" fontId="26" fillId="0" borderId="7" xfId="0" applyFont="1" applyFill="1" applyBorder="1" applyAlignment="1"/>
    <xf numFmtId="0" fontId="10" fillId="0" borderId="1" xfId="0" applyFont="1" applyFill="1" applyBorder="1" applyAlignment="1" applyProtection="1">
      <alignment horizontal="left" vertical="center"/>
      <protection locked="0"/>
    </xf>
    <xf numFmtId="0" fontId="30" fillId="0" borderId="1" xfId="1" applyFont="1" applyFill="1" applyBorder="1" applyAlignment="1">
      <alignment horizontal="left" vertical="center" wrapText="1"/>
    </xf>
    <xf numFmtId="0" fontId="30" fillId="0" borderId="2" xfId="1" applyFont="1" applyFill="1" applyBorder="1" applyAlignment="1">
      <alignment horizontal="left" vertical="center" wrapText="1"/>
    </xf>
    <xf numFmtId="0" fontId="30" fillId="0" borderId="3" xfId="1" applyFont="1" applyFill="1" applyBorder="1" applyAlignment="1">
      <alignment horizontal="left" vertical="center" wrapText="1"/>
    </xf>
    <xf numFmtId="0" fontId="5" fillId="0" borderId="2" xfId="1" applyFont="1" applyFill="1" applyBorder="1" applyAlignment="1">
      <alignment horizontal="center" vertical="center" wrapText="1"/>
    </xf>
    <xf numFmtId="0" fontId="30" fillId="0" borderId="3" xfId="1" applyFont="1" applyFill="1" applyBorder="1" applyAlignment="1">
      <alignment horizontal="center" vertical="center" wrapText="1"/>
    </xf>
    <xf numFmtId="0" fontId="35" fillId="2" borderId="18" xfId="0" applyFont="1" applyFill="1" applyBorder="1" applyAlignment="1">
      <alignment horizontal="center" vertical="center"/>
    </xf>
    <xf numFmtId="0" fontId="35" fillId="2" borderId="6" xfId="0" applyFont="1" applyFill="1" applyBorder="1" applyAlignment="1">
      <alignment horizontal="center" vertical="center"/>
    </xf>
    <xf numFmtId="0" fontId="14" fillId="0" borderId="7" xfId="0" applyFont="1" applyFill="1" applyBorder="1" applyAlignment="1" applyProtection="1">
      <alignment horizontal="left" vertical="center"/>
      <protection locked="0"/>
    </xf>
    <xf numFmtId="0" fontId="4" fillId="5" borderId="25" xfId="0" applyFont="1" applyFill="1" applyBorder="1" applyAlignment="1" applyProtection="1">
      <alignment horizontal="center" vertical="center" wrapText="1"/>
      <protection locked="0"/>
    </xf>
    <xf numFmtId="0" fontId="27" fillId="5" borderId="26" xfId="0" applyFont="1" applyFill="1" applyBorder="1" applyAlignment="1" applyProtection="1">
      <alignment horizontal="center" vertical="center" wrapText="1"/>
      <protection locked="0"/>
    </xf>
    <xf numFmtId="0" fontId="27" fillId="5" borderId="27" xfId="0" applyFont="1" applyFill="1" applyBorder="1" applyAlignment="1" applyProtection="1">
      <alignment horizontal="center" vertical="center" wrapText="1"/>
      <protection locked="0"/>
    </xf>
    <xf numFmtId="0" fontId="27" fillId="5" borderId="28" xfId="0" applyFont="1" applyFill="1" applyBorder="1" applyAlignment="1" applyProtection="1">
      <alignment horizontal="center" vertical="center" wrapText="1"/>
      <protection locked="0"/>
    </xf>
    <xf numFmtId="0" fontId="27" fillId="5" borderId="24" xfId="0" applyFont="1" applyFill="1" applyBorder="1" applyAlignment="1" applyProtection="1">
      <alignment horizontal="center" vertical="center" wrapText="1"/>
      <protection locked="0"/>
    </xf>
    <xf numFmtId="0" fontId="27" fillId="5" borderId="17" xfId="0" applyFont="1" applyFill="1" applyBorder="1" applyAlignment="1" applyProtection="1">
      <alignment horizontal="center" vertical="center" wrapText="1"/>
      <protection locked="0"/>
    </xf>
    <xf numFmtId="0" fontId="30" fillId="2" borderId="1" xfId="0" applyFont="1" applyFill="1" applyBorder="1" applyAlignment="1">
      <alignment horizontal="center" vertical="center" wrapText="1"/>
    </xf>
    <xf numFmtId="0" fontId="30" fillId="2" borderId="3" xfId="0" applyFont="1" applyFill="1" applyBorder="1" applyAlignment="1">
      <alignment horizontal="center" vertical="center" wrapText="1"/>
    </xf>
    <xf numFmtId="2" fontId="35" fillId="2" borderId="18" xfId="0" applyNumberFormat="1" applyFont="1" applyFill="1" applyBorder="1" applyAlignment="1" applyProtection="1">
      <alignment horizontal="center" vertical="center"/>
      <protection locked="0"/>
    </xf>
    <xf numFmtId="2" fontId="35" fillId="2" borderId="6" xfId="0" applyNumberFormat="1"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protection locked="0"/>
    </xf>
    <xf numFmtId="0" fontId="13" fillId="0" borderId="7" xfId="0" applyFont="1" applyBorder="1" applyAlignment="1" applyProtection="1">
      <alignment horizontal="left" vertical="center"/>
      <protection locked="0"/>
    </xf>
    <xf numFmtId="0" fontId="30" fillId="0" borderId="7" xfId="0" applyFont="1" applyBorder="1" applyAlignment="1"/>
    <xf numFmtId="0" fontId="5" fillId="0" borderId="25" xfId="0" applyFont="1" applyFill="1" applyBorder="1" applyAlignment="1" applyProtection="1">
      <alignment horizontal="left" vertical="center" wrapText="1"/>
      <protection locked="0"/>
    </xf>
    <xf numFmtId="0" fontId="30" fillId="0" borderId="26" xfId="0" applyFont="1" applyFill="1" applyBorder="1" applyAlignment="1" applyProtection="1">
      <alignment horizontal="left" vertical="center" wrapText="1"/>
      <protection locked="0"/>
    </xf>
    <xf numFmtId="0" fontId="30" fillId="0" borderId="27" xfId="0" applyFont="1" applyFill="1" applyBorder="1" applyAlignment="1" applyProtection="1">
      <alignment horizontal="left" vertical="center" wrapText="1"/>
      <protection locked="0"/>
    </xf>
    <xf numFmtId="0" fontId="30" fillId="0" borderId="28" xfId="0" applyFont="1" applyFill="1" applyBorder="1" applyAlignment="1" applyProtection="1">
      <alignment horizontal="left" vertical="center" wrapText="1"/>
      <protection locked="0"/>
    </xf>
    <xf numFmtId="0" fontId="30" fillId="0" borderId="24" xfId="0" applyFont="1" applyFill="1" applyBorder="1" applyAlignment="1" applyProtection="1">
      <alignment horizontal="left" vertical="center" wrapText="1"/>
      <protection locked="0"/>
    </xf>
    <xf numFmtId="0" fontId="30" fillId="0" borderId="17" xfId="0" applyFont="1" applyFill="1" applyBorder="1" applyAlignment="1" applyProtection="1">
      <alignment horizontal="left" vertical="center" wrapText="1"/>
      <protection locked="0"/>
    </xf>
    <xf numFmtId="0" fontId="7" fillId="0" borderId="7" xfId="0" applyFont="1" applyFill="1" applyBorder="1" applyAlignment="1" applyProtection="1">
      <alignment horizontal="left" vertical="center"/>
      <protection locked="0"/>
    </xf>
    <xf numFmtId="0" fontId="7" fillId="0" borderId="7" xfId="0" applyFont="1" applyFill="1" applyBorder="1"/>
    <xf numFmtId="0" fontId="3" fillId="0" borderId="1" xfId="0" applyFont="1" applyFill="1" applyBorder="1" applyAlignment="1" applyProtection="1">
      <alignment horizontal="left" vertical="center" wrapText="1"/>
      <protection locked="0"/>
    </xf>
    <xf numFmtId="0" fontId="30" fillId="0" borderId="2" xfId="0" applyFont="1" applyFill="1" applyBorder="1" applyAlignment="1">
      <alignment wrapText="1"/>
    </xf>
    <xf numFmtId="0" fontId="30" fillId="0" borderId="3" xfId="0" applyFont="1" applyFill="1" applyBorder="1" applyAlignment="1">
      <alignment wrapText="1"/>
    </xf>
    <xf numFmtId="0" fontId="20" fillId="0" borderId="7" xfId="0" applyFont="1" applyFill="1" applyBorder="1" applyAlignment="1" applyProtection="1">
      <alignment horizontal="left" vertical="center"/>
      <protection locked="0"/>
    </xf>
    <xf numFmtId="0" fontId="3" fillId="0" borderId="1" xfId="0" applyFont="1" applyBorder="1" applyAlignment="1" applyProtection="1">
      <alignment horizontal="left" vertical="center" wrapText="1"/>
      <protection locked="0"/>
    </xf>
    <xf numFmtId="0" fontId="3" fillId="0" borderId="2" xfId="0" applyFont="1" applyBorder="1" applyAlignment="1">
      <alignment wrapText="1"/>
    </xf>
    <xf numFmtId="0" fontId="3" fillId="0" borderId="3" xfId="0" applyFont="1" applyBorder="1" applyAlignment="1">
      <alignment wrapText="1"/>
    </xf>
    <xf numFmtId="0" fontId="34" fillId="2" borderId="76" xfId="0" applyFont="1" applyFill="1" applyBorder="1" applyAlignment="1" applyProtection="1">
      <alignment horizontal="center" vertical="center"/>
      <protection locked="0"/>
    </xf>
    <xf numFmtId="0" fontId="34" fillId="2" borderId="73" xfId="0" applyFont="1" applyFill="1" applyBorder="1" applyAlignment="1" applyProtection="1">
      <alignment horizontal="center" vertical="center"/>
      <protection locked="0"/>
    </xf>
    <xf numFmtId="0" fontId="34" fillId="2" borderId="77" xfId="0" applyFont="1" applyFill="1" applyBorder="1" applyAlignment="1" applyProtection="1">
      <alignment horizontal="center" vertical="center"/>
      <protection locked="0"/>
    </xf>
    <xf numFmtId="0" fontId="35" fillId="0" borderId="76" xfId="0" applyFont="1" applyBorder="1" applyAlignment="1" applyProtection="1">
      <alignment horizontal="center" vertical="center"/>
      <protection locked="0"/>
    </xf>
    <xf numFmtId="0" fontId="35" fillId="0" borderId="73" xfId="0" applyFont="1" applyBorder="1" applyAlignment="1" applyProtection="1">
      <alignment horizontal="center" vertical="center"/>
      <protection locked="0"/>
    </xf>
    <xf numFmtId="0" fontId="35" fillId="0" borderId="69" xfId="0" applyFont="1" applyBorder="1" applyAlignment="1" applyProtection="1">
      <alignment horizontal="center" vertical="center"/>
      <protection locked="0"/>
    </xf>
    <xf numFmtId="0" fontId="35" fillId="0" borderId="78" xfId="0" applyFont="1" applyBorder="1" applyAlignment="1" applyProtection="1">
      <alignment horizontal="center" vertical="center"/>
      <protection locked="0"/>
    </xf>
    <xf numFmtId="0" fontId="35" fillId="0" borderId="0" xfId="0" applyFont="1" applyBorder="1" applyAlignment="1" applyProtection="1">
      <alignment horizontal="center" vertical="center"/>
      <protection locked="0"/>
    </xf>
    <xf numFmtId="0" fontId="35" fillId="0" borderId="5" xfId="0" applyFont="1" applyBorder="1" applyAlignment="1" applyProtection="1">
      <alignment horizontal="center" vertical="center"/>
      <protection locked="0"/>
    </xf>
    <xf numFmtId="0" fontId="35" fillId="0" borderId="80" xfId="0" applyFont="1" applyBorder="1" applyAlignment="1" applyProtection="1">
      <alignment horizontal="center" vertical="center"/>
      <protection locked="0"/>
    </xf>
    <xf numFmtId="0" fontId="35" fillId="0" borderId="11" xfId="0" applyFont="1" applyBorder="1" applyAlignment="1" applyProtection="1">
      <alignment horizontal="center" vertical="center"/>
      <protection locked="0"/>
    </xf>
    <xf numFmtId="0" fontId="35" fillId="0" borderId="10" xfId="0" applyFont="1" applyBorder="1" applyAlignment="1" applyProtection="1">
      <alignment horizontal="center" vertical="center"/>
      <protection locked="0"/>
    </xf>
    <xf numFmtId="0" fontId="89" fillId="0" borderId="31" xfId="0" applyFont="1" applyBorder="1" applyAlignment="1" applyProtection="1">
      <alignment horizontal="center" vertical="center"/>
      <protection locked="0"/>
    </xf>
    <xf numFmtId="0" fontId="36" fillId="0" borderId="31" xfId="0" applyFont="1" applyBorder="1" applyAlignment="1" applyProtection="1">
      <alignment horizontal="center" vertical="center"/>
      <protection locked="0"/>
    </xf>
    <xf numFmtId="0" fontId="36" fillId="0" borderId="74" xfId="0" applyFont="1" applyBorder="1" applyAlignment="1" applyProtection="1">
      <alignment horizontal="center" vertical="center"/>
      <protection locked="0"/>
    </xf>
    <xf numFmtId="0" fontId="36" fillId="0" borderId="69" xfId="0" applyFont="1" applyBorder="1" applyAlignment="1" applyProtection="1">
      <alignment horizontal="center" vertical="center"/>
      <protection locked="0"/>
    </xf>
    <xf numFmtId="164" fontId="35" fillId="0" borderId="74" xfId="0" applyNumberFormat="1" applyFont="1" applyBorder="1" applyAlignment="1" applyProtection="1">
      <alignment horizontal="center" vertical="center"/>
      <protection locked="0"/>
    </xf>
    <xf numFmtId="164" fontId="35" fillId="0" borderId="73" xfId="0" applyNumberFormat="1" applyFont="1" applyBorder="1" applyAlignment="1" applyProtection="1">
      <alignment horizontal="center" vertical="center"/>
      <protection locked="0"/>
    </xf>
    <xf numFmtId="164" fontId="35" fillId="0" borderId="4" xfId="0" applyNumberFormat="1" applyFont="1" applyBorder="1" applyAlignment="1" applyProtection="1">
      <alignment horizontal="center" vertical="center"/>
      <protection locked="0"/>
    </xf>
    <xf numFmtId="164" fontId="35" fillId="0" borderId="0" xfId="0" applyNumberFormat="1" applyFont="1" applyBorder="1" applyAlignment="1" applyProtection="1">
      <alignment horizontal="center" vertical="center"/>
      <protection locked="0"/>
    </xf>
    <xf numFmtId="164" fontId="35" fillId="0" borderId="9" xfId="0" applyNumberFormat="1" applyFont="1" applyBorder="1" applyAlignment="1" applyProtection="1">
      <alignment horizontal="center" vertical="center"/>
      <protection locked="0"/>
    </xf>
    <xf numFmtId="164" fontId="35" fillId="0" borderId="11" xfId="0" applyNumberFormat="1" applyFont="1" applyBorder="1" applyAlignment="1" applyProtection="1">
      <alignment horizontal="center" vertical="center"/>
      <protection locked="0"/>
    </xf>
    <xf numFmtId="0" fontId="89" fillId="0" borderId="7" xfId="0" applyFont="1" applyBorder="1" applyAlignment="1" applyProtection="1">
      <alignment horizontal="center" vertical="center"/>
      <protection locked="0"/>
    </xf>
    <xf numFmtId="0" fontId="36" fillId="3" borderId="7" xfId="0" applyFont="1" applyFill="1" applyBorder="1" applyAlignment="1" applyProtection="1">
      <alignment horizontal="center" vertical="center"/>
      <protection locked="0"/>
    </xf>
    <xf numFmtId="167" fontId="84" fillId="0" borderId="4" xfId="0" applyNumberFormat="1" applyFont="1" applyFill="1" applyBorder="1" applyAlignment="1" applyProtection="1">
      <alignment horizontal="center" vertical="center" wrapText="1"/>
      <protection locked="0"/>
    </xf>
    <xf numFmtId="167" fontId="84" fillId="0" borderId="5" xfId="0" applyNumberFormat="1" applyFont="1" applyFill="1" applyBorder="1" applyAlignment="1" applyProtection="1">
      <alignment horizontal="center" vertical="center" wrapText="1"/>
      <protection locked="0"/>
    </xf>
    <xf numFmtId="167" fontId="84" fillId="0" borderId="9" xfId="0" applyNumberFormat="1" applyFont="1" applyFill="1" applyBorder="1" applyAlignment="1" applyProtection="1">
      <alignment horizontal="center" vertical="center" wrapText="1"/>
      <protection locked="0"/>
    </xf>
    <xf numFmtId="167" fontId="84" fillId="0" borderId="10" xfId="0" applyNumberFormat="1" applyFont="1" applyFill="1" applyBorder="1" applyAlignment="1" applyProtection="1">
      <alignment horizontal="center" vertical="center" wrapText="1"/>
      <protection locked="0"/>
    </xf>
    <xf numFmtId="0" fontId="89" fillId="0" borderId="8" xfId="0" applyFont="1" applyBorder="1" applyAlignment="1" applyProtection="1">
      <alignment horizontal="center" vertical="center"/>
      <protection locked="0"/>
    </xf>
    <xf numFmtId="0" fontId="36" fillId="0" borderId="8" xfId="0" applyFont="1" applyBorder="1" applyAlignment="1" applyProtection="1">
      <alignment horizontal="center" vertical="center" wrapText="1"/>
      <protection locked="0"/>
    </xf>
    <xf numFmtId="165" fontId="87" fillId="0" borderId="29" xfId="0" applyNumberFormat="1" applyFont="1" applyFill="1" applyBorder="1" applyAlignment="1" applyProtection="1">
      <alignment horizontal="center" vertical="center"/>
      <protection locked="0"/>
    </xf>
    <xf numFmtId="165" fontId="87" fillId="0" borderId="30" xfId="0" applyNumberFormat="1" applyFont="1" applyFill="1" applyBorder="1" applyAlignment="1" applyProtection="1">
      <alignment horizontal="center" vertical="center"/>
      <protection locked="0"/>
    </xf>
    <xf numFmtId="0" fontId="30" fillId="2" borderId="19" xfId="1" applyFont="1" applyFill="1" applyBorder="1" applyAlignment="1">
      <alignment horizontal="left" vertical="center" wrapText="1"/>
    </xf>
    <xf numFmtId="0" fontId="30" fillId="2" borderId="20" xfId="1" applyFont="1" applyFill="1" applyBorder="1" applyAlignment="1">
      <alignment horizontal="left" vertical="center" wrapText="1"/>
    </xf>
    <xf numFmtId="0" fontId="22" fillId="0" borderId="7" xfId="0" applyFont="1" applyBorder="1" applyAlignment="1" applyProtection="1">
      <alignment horizontal="left" vertical="center"/>
      <protection locked="0"/>
    </xf>
    <xf numFmtId="0" fontId="37" fillId="0" borderId="82" xfId="0" applyFont="1" applyBorder="1" applyAlignment="1" applyProtection="1">
      <alignment horizontal="center"/>
      <protection locked="0"/>
    </xf>
    <xf numFmtId="0" fontId="37" fillId="0" borderId="83" xfId="0" applyFont="1" applyBorder="1" applyAlignment="1" applyProtection="1">
      <alignment horizontal="center"/>
      <protection locked="0"/>
    </xf>
    <xf numFmtId="0" fontId="86" fillId="0" borderId="12" xfId="0" applyFont="1" applyBorder="1" applyAlignment="1" applyProtection="1">
      <alignment horizontal="center" vertical="center"/>
      <protection locked="0"/>
    </xf>
    <xf numFmtId="0" fontId="86" fillId="0" borderId="13" xfId="0" applyFont="1" applyBorder="1" applyAlignment="1" applyProtection="1">
      <alignment horizontal="center" vertical="center"/>
      <protection locked="0"/>
    </xf>
    <xf numFmtId="0" fontId="86" fillId="0" borderId="14" xfId="0" applyFont="1" applyBorder="1" applyAlignment="1" applyProtection="1">
      <alignment horizontal="center" vertical="center"/>
      <protection locked="0"/>
    </xf>
    <xf numFmtId="0" fontId="30" fillId="0" borderId="7" xfId="0" applyFont="1" applyBorder="1" applyAlignment="1" applyProtection="1">
      <alignment horizontal="left" vertical="center"/>
      <protection locked="0"/>
    </xf>
    <xf numFmtId="0" fontId="30" fillId="0" borderId="6" xfId="0" applyFont="1" applyBorder="1" applyAlignment="1" applyProtection="1">
      <alignment horizontal="left" vertical="center"/>
      <protection locked="0"/>
    </xf>
    <xf numFmtId="0" fontId="12" fillId="0" borderId="7" xfId="0" applyFont="1" applyBorder="1" applyAlignment="1" applyProtection="1">
      <alignment horizontal="left" vertical="center"/>
      <protection locked="0"/>
    </xf>
    <xf numFmtId="0" fontId="30" fillId="0" borderId="7" xfId="0" applyFont="1" applyFill="1" applyBorder="1" applyAlignment="1" applyProtection="1">
      <alignment horizontal="left" vertical="center"/>
      <protection locked="0"/>
    </xf>
    <xf numFmtId="0" fontId="30" fillId="0" borderId="7" xfId="0" applyFont="1" applyFill="1" applyBorder="1" applyAlignment="1"/>
    <xf numFmtId="0" fontId="28" fillId="0" borderId="7" xfId="0" applyFont="1" applyBorder="1" applyAlignment="1" applyProtection="1">
      <alignment horizontal="left" vertical="center"/>
      <protection locked="0"/>
    </xf>
    <xf numFmtId="0" fontId="25" fillId="0" borderId="7" xfId="0" applyFont="1" applyBorder="1" applyAlignment="1" applyProtection="1">
      <alignment horizontal="left" vertical="center"/>
      <protection locked="0"/>
    </xf>
    <xf numFmtId="0" fontId="26" fillId="2" borderId="7" xfId="0" applyFont="1" applyFill="1" applyBorder="1" applyAlignment="1" applyProtection="1">
      <alignment horizontal="left" vertical="center"/>
      <protection locked="0"/>
    </xf>
    <xf numFmtId="0" fontId="26" fillId="2" borderId="7" xfId="0" applyFont="1" applyFill="1" applyBorder="1" applyAlignment="1"/>
    <xf numFmtId="0" fontId="26" fillId="0" borderId="7" xfId="0" applyFont="1" applyBorder="1" applyAlignment="1" applyProtection="1">
      <alignment horizontal="left" vertical="center"/>
      <protection locked="0"/>
    </xf>
    <xf numFmtId="0" fontId="9" fillId="0" borderId="3" xfId="0" applyFont="1" applyFill="1" applyBorder="1" applyAlignment="1" applyProtection="1">
      <alignment horizontal="left" vertical="center"/>
      <protection locked="0"/>
    </xf>
    <xf numFmtId="0" fontId="9" fillId="0" borderId="17" xfId="0" applyFont="1" applyFill="1" applyBorder="1" applyAlignment="1" applyProtection="1">
      <alignment horizontal="left" vertical="center"/>
      <protection locked="0"/>
    </xf>
    <xf numFmtId="0" fontId="26" fillId="0" borderId="6" xfId="0" applyFont="1" applyFill="1" applyBorder="1" applyAlignment="1"/>
    <xf numFmtId="176" fontId="0" fillId="0" borderId="0" xfId="4" applyNumberFormat="1" applyFont="1" applyFill="1" applyBorder="1" applyAlignment="1">
      <alignment horizontal="left"/>
    </xf>
    <xf numFmtId="176" fontId="33" fillId="0" borderId="0" xfId="4" applyNumberFormat="1" applyFont="1" applyFill="1" applyBorder="1" applyAlignment="1">
      <alignment horizontal="left"/>
    </xf>
    <xf numFmtId="3" fontId="0" fillId="9" borderId="0" xfId="4" applyNumberFormat="1" applyFont="1" applyFill="1" applyBorder="1" applyAlignment="1">
      <alignment horizontal="center"/>
    </xf>
    <xf numFmtId="3" fontId="38" fillId="9" borderId="0" xfId="4" applyNumberFormat="1" applyFont="1" applyFill="1" applyBorder="1" applyAlignment="1">
      <alignment horizontal="center"/>
    </xf>
    <xf numFmtId="3" fontId="0" fillId="2" borderId="0" xfId="4" applyNumberFormat="1" applyFont="1" applyFill="1" applyBorder="1" applyAlignment="1">
      <alignment horizontal="center"/>
    </xf>
    <xf numFmtId="3" fontId="33" fillId="2" borderId="0" xfId="4" applyNumberFormat="1" applyFont="1" applyFill="1" applyBorder="1" applyAlignment="1">
      <alignment horizontal="center"/>
    </xf>
    <xf numFmtId="3" fontId="38" fillId="2" borderId="0" xfId="4" applyNumberFormat="1" applyFont="1" applyFill="1" applyBorder="1" applyAlignment="1">
      <alignment horizontal="center"/>
    </xf>
    <xf numFmtId="0" fontId="0" fillId="0" borderId="0" xfId="4" applyFont="1" applyFill="1" applyBorder="1" applyAlignment="1">
      <alignment horizontal="center"/>
    </xf>
    <xf numFmtId="175" fontId="33" fillId="0" borderId="0" xfId="4" applyNumberFormat="1" applyFont="1" applyFill="1" applyBorder="1" applyAlignment="1">
      <alignment horizontal="center"/>
    </xf>
    <xf numFmtId="3" fontId="33" fillId="9" borderId="0" xfId="4" applyNumberFormat="1" applyFont="1" applyFill="1" applyBorder="1" applyAlignment="1">
      <alignment horizontal="center"/>
    </xf>
    <xf numFmtId="174" fontId="38" fillId="9" borderId="0" xfId="4" applyNumberFormat="1" applyFont="1" applyFill="1" applyBorder="1" applyAlignment="1">
      <alignment horizontal="center"/>
    </xf>
    <xf numFmtId="174" fontId="38" fillId="2" borderId="0" xfId="4" applyNumberFormat="1" applyFont="1" applyFill="1" applyBorder="1" applyAlignment="1">
      <alignment horizontal="center"/>
    </xf>
    <xf numFmtId="3" fontId="70" fillId="7" borderId="0" xfId="4" applyNumberFormat="1" applyFont="1" applyFill="1" applyBorder="1" applyAlignment="1">
      <alignment horizontal="center"/>
    </xf>
    <xf numFmtId="0" fontId="66" fillId="9" borderId="0" xfId="4" applyFont="1" applyFill="1" applyBorder="1" applyAlignment="1">
      <alignment horizontal="center"/>
    </xf>
    <xf numFmtId="4" fontId="38" fillId="2" borderId="0" xfId="4" applyNumberFormat="1" applyFont="1" applyFill="1" applyBorder="1" applyAlignment="1">
      <alignment horizontal="center"/>
    </xf>
    <xf numFmtId="3" fontId="69" fillId="2" borderId="0" xfId="4" applyNumberFormat="1" applyFont="1" applyFill="1" applyBorder="1" applyAlignment="1">
      <alignment horizontal="center"/>
    </xf>
    <xf numFmtId="3" fontId="57" fillId="2" borderId="0" xfId="4" applyNumberFormat="1" applyFont="1" applyFill="1" applyBorder="1" applyAlignment="1">
      <alignment horizontal="center"/>
    </xf>
    <xf numFmtId="0" fontId="33" fillId="7" borderId="0" xfId="4" applyFont="1" applyFill="1" applyBorder="1" applyAlignment="1">
      <alignment horizontal="center"/>
    </xf>
    <xf numFmtId="3" fontId="33" fillId="7" borderId="0" xfId="4" applyNumberFormat="1" applyFont="1" applyFill="1" applyBorder="1" applyAlignment="1">
      <alignment horizontal="center"/>
    </xf>
    <xf numFmtId="174" fontId="33" fillId="2" borderId="0" xfId="4" applyNumberFormat="1" applyFont="1" applyFill="1" applyBorder="1" applyAlignment="1">
      <alignment horizontal="center"/>
    </xf>
    <xf numFmtId="175" fontId="33" fillId="7" borderId="0" xfId="4" applyNumberFormat="1" applyFont="1" applyFill="1" applyBorder="1" applyAlignment="1">
      <alignment horizontal="center"/>
    </xf>
    <xf numFmtId="0" fontId="0" fillId="7" borderId="0" xfId="4" applyFont="1" applyFill="1" applyBorder="1" applyAlignment="1">
      <alignment vertical="top" wrapText="1"/>
    </xf>
    <xf numFmtId="0" fontId="33" fillId="7" borderId="0" xfId="4" applyFont="1" applyFill="1" applyBorder="1" applyAlignment="1">
      <alignment vertical="top" wrapText="1"/>
    </xf>
    <xf numFmtId="4" fontId="85" fillId="7" borderId="0" xfId="4" applyNumberFormat="1" applyFont="1" applyFill="1" applyBorder="1" applyAlignment="1">
      <alignment horizontal="center"/>
    </xf>
    <xf numFmtId="3" fontId="57" fillId="7" borderId="0" xfId="4" applyNumberFormat="1" applyFont="1" applyFill="1" applyBorder="1" applyAlignment="1">
      <alignment horizontal="center"/>
    </xf>
    <xf numFmtId="3" fontId="0" fillId="7" borderId="0" xfId="4" applyNumberFormat="1" applyFont="1" applyFill="1" applyBorder="1" applyAlignment="1">
      <alignment horizontal="center"/>
    </xf>
    <xf numFmtId="0" fontId="66" fillId="9" borderId="53" xfId="4" applyFont="1" applyFill="1" applyBorder="1" applyAlignment="1">
      <alignment horizontal="center"/>
    </xf>
    <xf numFmtId="0" fontId="66" fillId="9" borderId="67" xfId="4" applyFont="1" applyFill="1" applyBorder="1" applyAlignment="1">
      <alignment horizontal="center"/>
    </xf>
    <xf numFmtId="3" fontId="69" fillId="7" borderId="0" xfId="4" applyNumberFormat="1" applyFont="1" applyFill="1" applyBorder="1" applyAlignment="1">
      <alignment horizontal="center"/>
    </xf>
    <xf numFmtId="3" fontId="33" fillId="2" borderId="0" xfId="4" applyNumberFormat="1" applyFont="1" applyFill="1" applyBorder="1" applyAlignment="1">
      <alignment horizontal="right"/>
    </xf>
    <xf numFmtId="3" fontId="33" fillId="2" borderId="18" xfId="4" applyNumberFormat="1" applyFont="1" applyFill="1" applyBorder="1" applyAlignment="1">
      <alignment horizontal="center"/>
    </xf>
    <xf numFmtId="3" fontId="33" fillId="2" borderId="16" xfId="4" applyNumberFormat="1" applyFont="1" applyFill="1" applyBorder="1" applyAlignment="1">
      <alignment horizontal="center"/>
    </xf>
    <xf numFmtId="3" fontId="33" fillId="2" borderId="6" xfId="4" applyNumberFormat="1" applyFont="1" applyFill="1" applyBorder="1" applyAlignment="1">
      <alignment horizontal="center"/>
    </xf>
    <xf numFmtId="3" fontId="33" fillId="2" borderId="7" xfId="4" applyNumberFormat="1" applyFont="1" applyFill="1" applyBorder="1" applyAlignment="1">
      <alignment horizontal="center"/>
    </xf>
    <xf numFmtId="4" fontId="33" fillId="2" borderId="7" xfId="4" applyNumberFormat="1" applyFont="1" applyFill="1" applyBorder="1" applyAlignment="1">
      <alignment horizontal="center"/>
    </xf>
    <xf numFmtId="3" fontId="69" fillId="2" borderId="7" xfId="4" applyNumberFormat="1" applyFont="1" applyFill="1" applyBorder="1" applyAlignment="1">
      <alignment horizontal="center"/>
    </xf>
    <xf numFmtId="3" fontId="38" fillId="2" borderId="0" xfId="4" applyNumberFormat="1" applyFont="1" applyFill="1" applyBorder="1" applyAlignment="1">
      <alignment horizontal="left" vertical="top" wrapText="1"/>
    </xf>
    <xf numFmtId="3" fontId="56" fillId="2" borderId="1" xfId="4" applyNumberFormat="1" applyFont="1" applyFill="1" applyBorder="1" applyAlignment="1">
      <alignment horizontal="center"/>
    </xf>
    <xf numFmtId="3" fontId="56" fillId="2" borderId="3" xfId="4" applyNumberFormat="1" applyFont="1" applyFill="1" applyBorder="1" applyAlignment="1">
      <alignment horizontal="center"/>
    </xf>
    <xf numFmtId="0" fontId="73" fillId="2" borderId="0" xfId="4" applyFont="1" applyFill="1" applyBorder="1" applyAlignment="1">
      <alignment horizontal="center"/>
    </xf>
    <xf numFmtId="3" fontId="70" fillId="2" borderId="7" xfId="4" applyNumberFormat="1" applyFont="1" applyFill="1" applyBorder="1" applyAlignment="1">
      <alignment horizontal="center"/>
    </xf>
    <xf numFmtId="0" fontId="33" fillId="7" borderId="0" xfId="4" applyFont="1" applyFill="1" applyBorder="1" applyAlignment="1">
      <alignment horizontal="right"/>
    </xf>
    <xf numFmtId="0" fontId="71" fillId="2" borderId="0" xfId="4" applyFont="1" applyFill="1" applyBorder="1" applyAlignment="1">
      <alignment horizontal="right"/>
    </xf>
    <xf numFmtId="0" fontId="38" fillId="2" borderId="0" xfId="4" applyFont="1" applyFill="1" applyBorder="1" applyAlignment="1">
      <alignment horizontal="right"/>
    </xf>
    <xf numFmtId="3" fontId="71" fillId="2" borderId="0" xfId="4" applyNumberFormat="1" applyFont="1" applyFill="1" applyBorder="1" applyAlignment="1">
      <alignment horizontal="center"/>
    </xf>
    <xf numFmtId="0" fontId="69" fillId="7" borderId="0" xfId="4" applyFont="1" applyFill="1" applyBorder="1" applyAlignment="1">
      <alignment horizontal="right"/>
    </xf>
    <xf numFmtId="3" fontId="55" fillId="2" borderId="68" xfId="4" applyNumberFormat="1" applyFont="1" applyFill="1" applyBorder="1" applyAlignment="1">
      <alignment horizontal="center" vertical="center"/>
    </xf>
    <xf numFmtId="3" fontId="55" fillId="2" borderId="66" xfId="4" applyNumberFormat="1" applyFont="1" applyFill="1" applyBorder="1" applyAlignment="1">
      <alignment horizontal="center" vertical="center"/>
    </xf>
    <xf numFmtId="0" fontId="60" fillId="0" borderId="51" xfId="4" applyFont="1" applyFill="1" applyBorder="1" applyAlignment="1">
      <alignment horizontal="right"/>
    </xf>
    <xf numFmtId="0" fontId="60" fillId="0" borderId="52" xfId="4" applyFont="1" applyFill="1" applyBorder="1" applyAlignment="1">
      <alignment horizontal="right"/>
    </xf>
    <xf numFmtId="0" fontId="60" fillId="0" borderId="50" xfId="4" applyFont="1" applyFill="1" applyBorder="1" applyAlignment="1">
      <alignment horizontal="right"/>
    </xf>
    <xf numFmtId="0" fontId="61" fillId="0" borderId="51" xfId="4" applyFont="1" applyFill="1" applyBorder="1" applyAlignment="1">
      <alignment horizontal="left" wrapText="1"/>
    </xf>
    <xf numFmtId="0" fontId="61" fillId="0" borderId="52" xfId="4" applyFont="1" applyFill="1" applyBorder="1" applyAlignment="1">
      <alignment horizontal="left" wrapText="1"/>
    </xf>
    <xf numFmtId="0" fontId="61" fillId="0" borderId="50" xfId="4" applyFont="1" applyFill="1" applyBorder="1" applyAlignment="1">
      <alignment horizontal="left" wrapText="1"/>
    </xf>
    <xf numFmtId="0" fontId="61" fillId="0" borderId="51" xfId="4" applyFont="1" applyFill="1" applyBorder="1" applyAlignment="1">
      <alignment horizontal="left" vertical="center"/>
    </xf>
    <xf numFmtId="0" fontId="61" fillId="0" borderId="52" xfId="4" applyFont="1" applyFill="1" applyBorder="1" applyAlignment="1">
      <alignment horizontal="left" vertical="center"/>
    </xf>
    <xf numFmtId="0" fontId="58" fillId="2" borderId="39" xfId="4" applyFont="1" applyFill="1" applyBorder="1" applyAlignment="1">
      <alignment horizontal="right"/>
    </xf>
    <xf numFmtId="172" fontId="57" fillId="2" borderId="39" xfId="4" applyNumberFormat="1" applyFont="1" applyFill="1" applyBorder="1" applyAlignment="1">
      <alignment horizontal="left"/>
    </xf>
    <xf numFmtId="0" fontId="59" fillId="7" borderId="41" xfId="4" applyFont="1" applyFill="1" applyBorder="1" applyAlignment="1">
      <alignment horizontal="center" vertical="center"/>
    </xf>
    <xf numFmtId="0" fontId="59" fillId="7" borderId="42" xfId="4" applyFont="1" applyFill="1" applyBorder="1" applyAlignment="1">
      <alignment horizontal="center" vertical="center"/>
    </xf>
    <xf numFmtId="0" fontId="60" fillId="0" borderId="0" xfId="4" applyFont="1" applyFill="1" applyBorder="1" applyAlignment="1">
      <alignment horizontal="right"/>
    </xf>
    <xf numFmtId="173" fontId="61" fillId="0" borderId="45" xfId="4" applyNumberFormat="1" applyFont="1" applyFill="1" applyBorder="1" applyAlignment="1">
      <alignment horizontal="left" vertical="center"/>
    </xf>
    <xf numFmtId="173" fontId="61" fillId="0" borderId="46" xfId="4" applyNumberFormat="1" applyFont="1" applyFill="1" applyBorder="1" applyAlignment="1">
      <alignment horizontal="left" vertical="center"/>
    </xf>
    <xf numFmtId="0" fontId="60" fillId="0" borderId="47" xfId="4" applyFont="1" applyFill="1" applyBorder="1" applyAlignment="1">
      <alignment horizontal="right"/>
    </xf>
    <xf numFmtId="0" fontId="60" fillId="0" borderId="44" xfId="4" applyFont="1" applyFill="1" applyBorder="1" applyAlignment="1">
      <alignment horizontal="right"/>
    </xf>
    <xf numFmtId="0" fontId="61" fillId="0" borderId="50" xfId="4" applyFont="1" applyFill="1" applyBorder="1" applyAlignment="1">
      <alignment horizontal="left" vertical="center"/>
    </xf>
    <xf numFmtId="0" fontId="61" fillId="0" borderId="47" xfId="4" applyFont="1" applyFill="1" applyBorder="1" applyAlignment="1">
      <alignment horizontal="left" vertical="center"/>
    </xf>
    <xf numFmtId="0" fontId="61" fillId="0" borderId="48" xfId="4" applyFont="1" applyFill="1" applyBorder="1" applyAlignment="1">
      <alignment horizontal="left" vertical="center"/>
    </xf>
    <xf numFmtId="0" fontId="60" fillId="0" borderId="51" xfId="4" applyFont="1" applyFill="1" applyBorder="1" applyAlignment="1">
      <alignment horizontal="right" vertical="center"/>
    </xf>
    <xf numFmtId="0" fontId="60" fillId="0" borderId="52" xfId="4" applyFont="1" applyFill="1" applyBorder="1" applyAlignment="1">
      <alignment horizontal="right" vertical="center"/>
    </xf>
    <xf numFmtId="0" fontId="60" fillId="0" borderId="59" xfId="4" applyFont="1" applyFill="1" applyBorder="1" applyAlignment="1">
      <alignment horizontal="right" vertical="center"/>
    </xf>
    <xf numFmtId="0" fontId="60" fillId="0" borderId="60" xfId="4" applyFont="1" applyFill="1" applyBorder="1" applyAlignment="1">
      <alignment horizontal="right" vertical="center"/>
    </xf>
    <xf numFmtId="0" fontId="60" fillId="0" borderId="61" xfId="4" applyFont="1" applyFill="1" applyBorder="1" applyAlignment="1">
      <alignment horizontal="right" vertical="center"/>
    </xf>
    <xf numFmtId="0" fontId="61" fillId="0" borderId="59" xfId="4" applyFont="1" applyFill="1" applyBorder="1" applyAlignment="1">
      <alignment horizontal="left" vertical="center" wrapText="1"/>
    </xf>
    <xf numFmtId="0" fontId="61" fillId="0" borderId="60" xfId="4" applyFont="1" applyFill="1" applyBorder="1" applyAlignment="1">
      <alignment horizontal="left" vertical="center" wrapText="1"/>
    </xf>
    <xf numFmtId="0" fontId="57" fillId="7" borderId="0" xfId="4" applyFont="1" applyFill="1" applyBorder="1" applyAlignment="1">
      <alignment horizontal="left" vertical="center"/>
    </xf>
    <xf numFmtId="0" fontId="60" fillId="0" borderId="47" xfId="4" applyFont="1" applyFill="1" applyBorder="1" applyAlignment="1">
      <alignment horizontal="center"/>
    </xf>
    <xf numFmtId="0" fontId="60" fillId="0" borderId="48" xfId="4" applyFont="1" applyFill="1" applyBorder="1" applyAlignment="1">
      <alignment horizontal="center"/>
    </xf>
    <xf numFmtId="0" fontId="60" fillId="0" borderId="44" xfId="4" applyFont="1" applyFill="1" applyBorder="1" applyAlignment="1">
      <alignment horizontal="center"/>
    </xf>
    <xf numFmtId="0" fontId="64" fillId="7" borderId="0" xfId="4" applyFont="1" applyFill="1" applyBorder="1" applyAlignment="1">
      <alignment horizontal="center" vertical="center"/>
    </xf>
    <xf numFmtId="0" fontId="64" fillId="7" borderId="0" xfId="4" applyFont="1" applyFill="1" applyBorder="1" applyAlignment="1">
      <alignment horizontal="right" vertical="center"/>
    </xf>
    <xf numFmtId="0" fontId="59" fillId="7" borderId="0" xfId="4" applyFont="1" applyFill="1" applyBorder="1" applyAlignment="1">
      <alignment horizontal="center" vertical="center"/>
    </xf>
    <xf numFmtId="0" fontId="60" fillId="0" borderId="46" xfId="4" applyFont="1" applyFill="1" applyBorder="1" applyAlignment="1">
      <alignment horizontal="right"/>
    </xf>
    <xf numFmtId="0" fontId="60" fillId="0" borderId="45" xfId="4" applyFont="1" applyFill="1" applyBorder="1" applyAlignment="1">
      <alignment horizontal="center"/>
    </xf>
    <xf numFmtId="0" fontId="60" fillId="0" borderId="0" xfId="4" applyFont="1" applyFill="1" applyBorder="1" applyAlignment="1">
      <alignment horizontal="center"/>
    </xf>
    <xf numFmtId="0" fontId="60" fillId="0" borderId="46" xfId="4" applyFont="1" applyFill="1" applyBorder="1" applyAlignment="1">
      <alignment horizontal="center"/>
    </xf>
    <xf numFmtId="0" fontId="66" fillId="9" borderId="54" xfId="4" applyFont="1" applyFill="1" applyBorder="1" applyAlignment="1">
      <alignment horizontal="center"/>
    </xf>
    <xf numFmtId="174" fontId="57" fillId="2" borderId="1" xfId="4" applyNumberFormat="1" applyFont="1" applyFill="1" applyBorder="1" applyAlignment="1">
      <alignment horizontal="center"/>
    </xf>
    <xf numFmtId="174" fontId="57" fillId="2" borderId="3" xfId="4" applyNumberFormat="1" applyFont="1" applyFill="1" applyBorder="1" applyAlignment="1">
      <alignment horizontal="center"/>
    </xf>
    <xf numFmtId="0" fontId="33" fillId="2" borderId="35" xfId="4" applyFont="1" applyFill="1" applyBorder="1" applyAlignment="1">
      <alignment horizontal="center"/>
    </xf>
    <xf numFmtId="0" fontId="33" fillId="2" borderId="36" xfId="4" applyFont="1" applyFill="1" applyBorder="1" applyAlignment="1">
      <alignment horizontal="center"/>
    </xf>
    <xf numFmtId="0" fontId="33" fillId="2" borderId="4" xfId="4" applyFont="1" applyFill="1" applyBorder="1" applyAlignment="1">
      <alignment horizontal="center"/>
    </xf>
    <xf numFmtId="0" fontId="33" fillId="2" borderId="0" xfId="4" applyFont="1" applyFill="1" applyBorder="1" applyAlignment="1">
      <alignment horizontal="center"/>
    </xf>
    <xf numFmtId="0" fontId="55" fillId="2" borderId="36" xfId="4" applyFont="1" applyFill="1" applyBorder="1" applyAlignment="1">
      <alignment horizontal="right"/>
    </xf>
    <xf numFmtId="0" fontId="55" fillId="2" borderId="0" xfId="4" applyFont="1" applyFill="1" applyBorder="1" applyAlignment="1">
      <alignment horizontal="right"/>
    </xf>
    <xf numFmtId="0" fontId="55" fillId="2" borderId="37" xfId="4" applyFont="1" applyFill="1" applyBorder="1" applyAlignment="1">
      <alignment horizontal="right"/>
    </xf>
    <xf numFmtId="0" fontId="57" fillId="2" borderId="40" xfId="4" applyFont="1" applyFill="1" applyBorder="1" applyAlignment="1">
      <alignment horizontal="left"/>
    </xf>
    <xf numFmtId="0" fontId="61" fillId="0" borderId="53" xfId="4" applyFont="1" applyFill="1" applyBorder="1" applyAlignment="1">
      <alignment horizontal="left"/>
    </xf>
    <xf numFmtId="0" fontId="61" fillId="0" borderId="54" xfId="4" applyFont="1" applyFill="1" applyBorder="1" applyAlignment="1">
      <alignment horizontal="left"/>
    </xf>
    <xf numFmtId="3" fontId="38" fillId="0" borderId="0" xfId="4" applyNumberFormat="1" applyFont="1" applyFill="1" applyBorder="1" applyAlignment="1">
      <alignment horizontal="center"/>
    </xf>
    <xf numFmtId="3" fontId="0" fillId="0" borderId="0" xfId="4" applyNumberFormat="1" applyFont="1" applyFill="1" applyBorder="1" applyAlignment="1">
      <alignment horizontal="center"/>
    </xf>
    <xf numFmtId="0" fontId="0" fillId="9" borderId="0" xfId="4" applyFont="1" applyFill="1" applyBorder="1" applyAlignment="1">
      <alignment horizontal="center"/>
    </xf>
    <xf numFmtId="0" fontId="79" fillId="0" borderId="0" xfId="4" applyFont="1" applyFill="1" applyBorder="1" applyAlignment="1">
      <alignment horizontal="center"/>
    </xf>
    <xf numFmtId="0" fontId="66" fillId="0" borderId="0" xfId="4" applyFont="1" applyFill="1" applyBorder="1" applyAlignment="1">
      <alignment horizontal="center"/>
    </xf>
    <xf numFmtId="167" fontId="80" fillId="0" borderId="0" xfId="4" applyNumberFormat="1" applyFont="1" applyFill="1" applyBorder="1" applyAlignment="1">
      <alignment horizontal="center"/>
    </xf>
    <xf numFmtId="0" fontId="80" fillId="0" borderId="0" xfId="4" applyFont="1" applyFill="1" applyBorder="1" applyAlignment="1">
      <alignment horizontal="center"/>
    </xf>
    <xf numFmtId="176" fontId="33" fillId="0" borderId="0" xfId="4" applyNumberFormat="1" applyFont="1" applyFill="1" applyBorder="1" applyAlignment="1">
      <alignment horizontal="center"/>
    </xf>
  </cellXfs>
  <cellStyles count="7">
    <cellStyle name="Comma" xfId="6" builtinId="3"/>
    <cellStyle name="Normal" xfId="0" builtinId="0"/>
    <cellStyle name="Normal 2" xfId="5" xr:uid="{00000000-0005-0000-0000-000002000000}"/>
    <cellStyle name="Normal 2 2" xfId="4" xr:uid="{00000000-0005-0000-0000-000003000000}"/>
    <cellStyle name="Normal_(PC4-4) Trident 17 - BHA- rev 2" xfId="1" xr:uid="{00000000-0005-0000-0000-000004000000}"/>
    <cellStyle name="Normal_Standard BHA - Template - Rev 3" xfId="2" xr:uid="{00000000-0005-0000-0000-000005000000}"/>
    <cellStyle name="Style 1"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4.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 Id="rId9"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569670</xdr:colOff>
      <xdr:row>52</xdr:row>
      <xdr:rowOff>16479</xdr:rowOff>
    </xdr:from>
    <xdr:to>
      <xdr:col>1</xdr:col>
      <xdr:colOff>883995</xdr:colOff>
      <xdr:row>53</xdr:row>
      <xdr:rowOff>40821</xdr:rowOff>
    </xdr:to>
    <xdr:grpSp>
      <xdr:nvGrpSpPr>
        <xdr:cNvPr id="2" name="Group 1364">
          <a:extLst>
            <a:ext uri="{FF2B5EF4-FFF2-40B4-BE49-F238E27FC236}">
              <a16:creationId xmlns:a16="http://schemas.microsoft.com/office/drawing/2014/main" id="{00000000-0008-0000-0000-000002000000}"/>
            </a:ext>
          </a:extLst>
        </xdr:cNvPr>
        <xdr:cNvGrpSpPr>
          <a:grpSpLocks/>
        </xdr:cNvGrpSpPr>
      </xdr:nvGrpSpPr>
      <xdr:grpSpPr bwMode="auto">
        <a:xfrm>
          <a:off x="1168384" y="18260936"/>
          <a:ext cx="314325" cy="786342"/>
          <a:chOff x="2160" y="1800"/>
          <a:chExt cx="420" cy="1395"/>
        </a:xfrm>
      </xdr:grpSpPr>
      <xdr:sp macro="" textlink="">
        <xdr:nvSpPr>
          <xdr:cNvPr id="3" name="Rectangle 601">
            <a:extLst>
              <a:ext uri="{FF2B5EF4-FFF2-40B4-BE49-F238E27FC236}">
                <a16:creationId xmlns:a16="http://schemas.microsoft.com/office/drawing/2014/main" id="{00000000-0008-0000-0000-000003000000}"/>
              </a:ext>
            </a:extLst>
          </xdr:cNvPr>
          <xdr:cNvSpPr>
            <a:spLocks noChangeArrowheads="1"/>
          </xdr:cNvSpPr>
        </xdr:nvSpPr>
        <xdr:spPr bwMode="auto">
          <a:xfrm rot="10800000">
            <a:off x="2160" y="1888"/>
            <a:ext cx="420" cy="1236"/>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lnSpc>
                <a:spcPts val="1200"/>
              </a:lnSpc>
              <a:defRPr sz="1000"/>
            </a:pPr>
            <a:endParaRPr lang="en-US" sz="1200" b="0" i="0" u="none" strike="noStrike" baseline="0">
              <a:solidFill>
                <a:srgbClr val="000000"/>
              </a:solidFill>
              <a:latin typeface="Times New Roman"/>
              <a:cs typeface="Times New Roman"/>
            </a:endParaRPr>
          </a:p>
        </xdr:txBody>
      </xdr:sp>
      <xdr:sp macro="" textlink="">
        <xdr:nvSpPr>
          <xdr:cNvPr id="4" name="Freeform 599">
            <a:extLst>
              <a:ext uri="{FF2B5EF4-FFF2-40B4-BE49-F238E27FC236}">
                <a16:creationId xmlns:a16="http://schemas.microsoft.com/office/drawing/2014/main" id="{00000000-0008-0000-0000-000004000000}"/>
              </a:ext>
            </a:extLst>
          </xdr:cNvPr>
          <xdr:cNvSpPr>
            <a:spLocks/>
          </xdr:cNvSpPr>
        </xdr:nvSpPr>
        <xdr:spPr bwMode="auto">
          <a:xfrm rot="10800000">
            <a:off x="2160" y="3125"/>
            <a:ext cx="419" cy="70"/>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5" name="Freeform 600">
            <a:extLst>
              <a:ext uri="{FF2B5EF4-FFF2-40B4-BE49-F238E27FC236}">
                <a16:creationId xmlns:a16="http://schemas.microsoft.com/office/drawing/2014/main" id="{00000000-0008-0000-0000-000005000000}"/>
              </a:ext>
            </a:extLst>
          </xdr:cNvPr>
          <xdr:cNvSpPr>
            <a:spLocks/>
          </xdr:cNvSpPr>
        </xdr:nvSpPr>
        <xdr:spPr bwMode="auto">
          <a:xfrm>
            <a:off x="2160" y="1800"/>
            <a:ext cx="419" cy="70"/>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6" name="Rectangle 607">
            <a:extLst>
              <a:ext uri="{FF2B5EF4-FFF2-40B4-BE49-F238E27FC236}">
                <a16:creationId xmlns:a16="http://schemas.microsoft.com/office/drawing/2014/main" id="{00000000-0008-0000-0000-000006000000}"/>
              </a:ext>
            </a:extLst>
          </xdr:cNvPr>
          <xdr:cNvSpPr>
            <a:spLocks noChangeArrowheads="1"/>
          </xdr:cNvSpPr>
        </xdr:nvSpPr>
        <xdr:spPr bwMode="auto">
          <a:xfrm>
            <a:off x="2364" y="2877"/>
            <a:ext cx="25" cy="71"/>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7" name="Rectangle 608">
            <a:extLst>
              <a:ext uri="{FF2B5EF4-FFF2-40B4-BE49-F238E27FC236}">
                <a16:creationId xmlns:a16="http://schemas.microsoft.com/office/drawing/2014/main" id="{00000000-0008-0000-0000-000007000000}"/>
              </a:ext>
            </a:extLst>
          </xdr:cNvPr>
          <xdr:cNvSpPr>
            <a:spLocks noChangeArrowheads="1"/>
          </xdr:cNvSpPr>
        </xdr:nvSpPr>
        <xdr:spPr bwMode="auto">
          <a:xfrm>
            <a:off x="2427" y="2877"/>
            <a:ext cx="25" cy="71"/>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8" name="Rectangle 609">
            <a:extLst>
              <a:ext uri="{FF2B5EF4-FFF2-40B4-BE49-F238E27FC236}">
                <a16:creationId xmlns:a16="http://schemas.microsoft.com/office/drawing/2014/main" id="{00000000-0008-0000-0000-000008000000}"/>
              </a:ext>
            </a:extLst>
          </xdr:cNvPr>
          <xdr:cNvSpPr>
            <a:spLocks noChangeArrowheads="1"/>
          </xdr:cNvSpPr>
        </xdr:nvSpPr>
        <xdr:spPr bwMode="auto">
          <a:xfrm>
            <a:off x="2529" y="2877"/>
            <a:ext cx="25" cy="71"/>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9" name="Rectangle 610">
            <a:extLst>
              <a:ext uri="{FF2B5EF4-FFF2-40B4-BE49-F238E27FC236}">
                <a16:creationId xmlns:a16="http://schemas.microsoft.com/office/drawing/2014/main" id="{00000000-0008-0000-0000-000009000000}"/>
              </a:ext>
            </a:extLst>
          </xdr:cNvPr>
          <xdr:cNvSpPr>
            <a:spLocks noChangeArrowheads="1"/>
          </xdr:cNvSpPr>
        </xdr:nvSpPr>
        <xdr:spPr bwMode="auto">
          <a:xfrm>
            <a:off x="2287" y="2877"/>
            <a:ext cx="38" cy="71"/>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10" name="Rectangle 611">
            <a:extLst>
              <a:ext uri="{FF2B5EF4-FFF2-40B4-BE49-F238E27FC236}">
                <a16:creationId xmlns:a16="http://schemas.microsoft.com/office/drawing/2014/main" id="{00000000-0008-0000-0000-00000A000000}"/>
              </a:ext>
            </a:extLst>
          </xdr:cNvPr>
          <xdr:cNvSpPr>
            <a:spLocks noChangeArrowheads="1"/>
          </xdr:cNvSpPr>
        </xdr:nvSpPr>
        <xdr:spPr bwMode="auto">
          <a:xfrm>
            <a:off x="2185" y="2877"/>
            <a:ext cx="25" cy="71"/>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11" name="Oval 606">
            <a:extLst>
              <a:ext uri="{FF2B5EF4-FFF2-40B4-BE49-F238E27FC236}">
                <a16:creationId xmlns:a16="http://schemas.microsoft.com/office/drawing/2014/main" id="{00000000-0008-0000-0000-00000B000000}"/>
              </a:ext>
            </a:extLst>
          </xdr:cNvPr>
          <xdr:cNvSpPr>
            <a:spLocks noChangeArrowheads="1"/>
          </xdr:cNvSpPr>
        </xdr:nvSpPr>
        <xdr:spPr bwMode="auto">
          <a:xfrm rot="10800000" flipV="1">
            <a:off x="2287" y="1977"/>
            <a:ext cx="153" cy="194"/>
          </a:xfrm>
          <a:prstGeom prst="ellipse">
            <a:avLst/>
          </a:prstGeom>
          <a:gradFill rotWithShape="0">
            <a:gsLst>
              <a:gs pos="0">
                <a:srgbClr val="FFFFFF"/>
              </a:gs>
              <a:gs pos="100000">
                <a:srgbClr val="767676"/>
              </a:gs>
            </a:gsLst>
            <a:path path="shape">
              <a:fillToRect l="50000" t="50000" r="50000" b="50000"/>
            </a:path>
          </a:gradFill>
          <a:ln w="3175">
            <a:solidFill>
              <a:srgbClr val="000000"/>
            </a:solidFill>
            <a:round/>
            <a:headEnd/>
            <a:tailEnd/>
          </a:ln>
        </xdr:spPr>
        <xdr:txBody>
          <a:bodyPr vertOverflow="clip" wrap="square" lIns="91440" tIns="45720" rIns="91440" bIns="45720" anchor="t" upright="1"/>
          <a:lstStyle/>
          <a:p>
            <a:pPr algn="l" rtl="0">
              <a:lnSpc>
                <a:spcPts val="1100"/>
              </a:lnSpc>
              <a:defRPr sz="1000"/>
            </a:pPr>
            <a:endParaRPr lang="en-US" sz="1200" b="0" i="0" u="none" strike="noStrike" baseline="0">
              <a:solidFill>
                <a:srgbClr val="000000"/>
              </a:solidFill>
              <a:latin typeface="Times New Roman"/>
              <a:cs typeface="Times New Roman"/>
            </a:endParaRPr>
          </a:p>
          <a:p>
            <a:pPr algn="l" rtl="0">
              <a:lnSpc>
                <a:spcPts val="1100"/>
              </a:lnSpc>
              <a:defRPr sz="1000"/>
            </a:pPr>
            <a:endParaRPr lang="en-US" sz="1200" b="0" i="0" u="none" strike="noStrike" baseline="0">
              <a:solidFill>
                <a:srgbClr val="000000"/>
              </a:solidFill>
              <a:latin typeface="Times New Roman"/>
              <a:cs typeface="Times New Roman"/>
            </a:endParaRPr>
          </a:p>
        </xdr:txBody>
      </xdr:sp>
      <xdr:grpSp>
        <xdr:nvGrpSpPr>
          <xdr:cNvPr id="12" name="Group 1374">
            <a:extLst>
              <a:ext uri="{FF2B5EF4-FFF2-40B4-BE49-F238E27FC236}">
                <a16:creationId xmlns:a16="http://schemas.microsoft.com/office/drawing/2014/main" id="{00000000-0008-0000-0000-00000C000000}"/>
              </a:ext>
            </a:extLst>
          </xdr:cNvPr>
          <xdr:cNvGrpSpPr>
            <a:grpSpLocks/>
          </xdr:cNvGrpSpPr>
        </xdr:nvGrpSpPr>
        <xdr:grpSpPr bwMode="auto">
          <a:xfrm>
            <a:off x="2155" y="2474"/>
            <a:ext cx="384" cy="31"/>
            <a:chOff x="1419" y="1540"/>
            <a:chExt cx="336" cy="27"/>
          </a:xfrm>
        </xdr:grpSpPr>
        <xdr:sp macro="" textlink="">
          <xdr:nvSpPr>
            <xdr:cNvPr id="13" name="Oval 1375">
              <a:extLst>
                <a:ext uri="{FF2B5EF4-FFF2-40B4-BE49-F238E27FC236}">
                  <a16:creationId xmlns:a16="http://schemas.microsoft.com/office/drawing/2014/main" id="{00000000-0008-0000-0000-00000D000000}"/>
                </a:ext>
              </a:extLst>
            </xdr:cNvPr>
            <xdr:cNvSpPr>
              <a:spLocks noChangeArrowheads="1"/>
            </xdr:cNvSpPr>
          </xdr:nvSpPr>
          <xdr:spPr bwMode="auto">
            <a:xfrm>
              <a:off x="1573" y="1540"/>
              <a:ext cx="28" cy="27"/>
            </a:xfrm>
            <a:prstGeom prst="ellipse">
              <a:avLst/>
            </a:prstGeom>
            <a:solidFill>
              <a:srgbClr val="FFFFFF"/>
            </a:solidFill>
            <a:ln w="9525">
              <a:solidFill>
                <a:srgbClr val="000000"/>
              </a:solidFill>
              <a:round/>
              <a:headEnd/>
              <a:tailEnd/>
            </a:ln>
          </xdr:spPr>
        </xdr:sp>
        <xdr:sp macro="" textlink="">
          <xdr:nvSpPr>
            <xdr:cNvPr id="14" name="Oval 1376">
              <a:extLst>
                <a:ext uri="{FF2B5EF4-FFF2-40B4-BE49-F238E27FC236}">
                  <a16:creationId xmlns:a16="http://schemas.microsoft.com/office/drawing/2014/main" id="{00000000-0008-0000-0000-00000E000000}"/>
                </a:ext>
              </a:extLst>
            </xdr:cNvPr>
            <xdr:cNvSpPr>
              <a:spLocks noChangeArrowheads="1"/>
            </xdr:cNvSpPr>
          </xdr:nvSpPr>
          <xdr:spPr bwMode="auto">
            <a:xfrm>
              <a:off x="1727" y="1540"/>
              <a:ext cx="28" cy="27"/>
            </a:xfrm>
            <a:prstGeom prst="ellipse">
              <a:avLst/>
            </a:prstGeom>
            <a:solidFill>
              <a:srgbClr val="FFFFFF"/>
            </a:solidFill>
            <a:ln w="9525">
              <a:solidFill>
                <a:srgbClr val="000000"/>
              </a:solidFill>
              <a:round/>
              <a:headEnd/>
              <a:tailEnd/>
            </a:ln>
          </xdr:spPr>
        </xdr:sp>
        <xdr:sp macro="" textlink="">
          <xdr:nvSpPr>
            <xdr:cNvPr id="15" name="Oval 1377">
              <a:extLst>
                <a:ext uri="{FF2B5EF4-FFF2-40B4-BE49-F238E27FC236}">
                  <a16:creationId xmlns:a16="http://schemas.microsoft.com/office/drawing/2014/main" id="{00000000-0008-0000-0000-00000F000000}"/>
                </a:ext>
              </a:extLst>
            </xdr:cNvPr>
            <xdr:cNvSpPr>
              <a:spLocks noChangeArrowheads="1"/>
            </xdr:cNvSpPr>
          </xdr:nvSpPr>
          <xdr:spPr bwMode="auto">
            <a:xfrm>
              <a:off x="1419" y="1540"/>
              <a:ext cx="28" cy="27"/>
            </a:xfrm>
            <a:prstGeom prst="ellipse">
              <a:avLst/>
            </a:prstGeom>
            <a:solidFill>
              <a:srgbClr val="FFFFFF"/>
            </a:solidFill>
            <a:ln w="9525">
              <a:solidFill>
                <a:srgbClr val="000000"/>
              </a:solidFill>
              <a:round/>
              <a:headEnd/>
              <a:tailEnd/>
            </a:ln>
          </xdr:spPr>
        </xdr:sp>
      </xdr:grpSp>
    </xdr:grpSp>
    <xdr:clientData/>
  </xdr:twoCellAnchor>
  <xdr:twoCellAnchor>
    <xdr:from>
      <xdr:col>1</xdr:col>
      <xdr:colOff>560317</xdr:colOff>
      <xdr:row>51</xdr:row>
      <xdr:rowOff>33877</xdr:rowOff>
    </xdr:from>
    <xdr:to>
      <xdr:col>1</xdr:col>
      <xdr:colOff>877023</xdr:colOff>
      <xdr:row>52</xdr:row>
      <xdr:rowOff>9071</xdr:rowOff>
    </xdr:to>
    <xdr:grpSp>
      <xdr:nvGrpSpPr>
        <xdr:cNvPr id="16" name="Group 6254">
          <a:extLst>
            <a:ext uri="{FF2B5EF4-FFF2-40B4-BE49-F238E27FC236}">
              <a16:creationId xmlns:a16="http://schemas.microsoft.com/office/drawing/2014/main" id="{00000000-0008-0000-0000-000010000000}"/>
            </a:ext>
          </a:extLst>
        </xdr:cNvPr>
        <xdr:cNvGrpSpPr>
          <a:grpSpLocks/>
        </xdr:cNvGrpSpPr>
      </xdr:nvGrpSpPr>
      <xdr:grpSpPr bwMode="auto">
        <a:xfrm>
          <a:off x="1159031" y="17929991"/>
          <a:ext cx="316706" cy="323537"/>
          <a:chOff x="73" y="225"/>
          <a:chExt cx="17" cy="75"/>
        </a:xfrm>
      </xdr:grpSpPr>
      <xdr:sp macro="" textlink="">
        <xdr:nvSpPr>
          <xdr:cNvPr id="17" name="Rectangle 696">
            <a:extLst>
              <a:ext uri="{FF2B5EF4-FFF2-40B4-BE49-F238E27FC236}">
                <a16:creationId xmlns:a16="http://schemas.microsoft.com/office/drawing/2014/main" id="{00000000-0008-0000-0000-00001100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8" name="Rectangle 697">
            <a:extLst>
              <a:ext uri="{FF2B5EF4-FFF2-40B4-BE49-F238E27FC236}">
                <a16:creationId xmlns:a16="http://schemas.microsoft.com/office/drawing/2014/main" id="{00000000-0008-0000-0000-00001200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9" name="Freeform 698">
            <a:extLst>
              <a:ext uri="{FF2B5EF4-FFF2-40B4-BE49-F238E27FC236}">
                <a16:creationId xmlns:a16="http://schemas.microsoft.com/office/drawing/2014/main" id="{00000000-0008-0000-0000-00001300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563956</xdr:colOff>
      <xdr:row>47</xdr:row>
      <xdr:rowOff>719598</xdr:rowOff>
    </xdr:from>
    <xdr:to>
      <xdr:col>1</xdr:col>
      <xdr:colOff>870893</xdr:colOff>
      <xdr:row>49</xdr:row>
      <xdr:rowOff>24190</xdr:rowOff>
    </xdr:to>
    <xdr:grpSp>
      <xdr:nvGrpSpPr>
        <xdr:cNvPr id="20" name="Group 373">
          <a:extLst>
            <a:ext uri="{FF2B5EF4-FFF2-40B4-BE49-F238E27FC236}">
              <a16:creationId xmlns:a16="http://schemas.microsoft.com/office/drawing/2014/main" id="{00000000-0008-0000-0000-000014000000}"/>
            </a:ext>
          </a:extLst>
        </xdr:cNvPr>
        <xdr:cNvGrpSpPr>
          <a:grpSpLocks/>
        </xdr:cNvGrpSpPr>
      </xdr:nvGrpSpPr>
      <xdr:grpSpPr bwMode="auto">
        <a:xfrm>
          <a:off x="1162670" y="17036195"/>
          <a:ext cx="306937" cy="274509"/>
          <a:chOff x="2076450" y="11877675"/>
          <a:chExt cx="261938" cy="284704"/>
        </a:xfrm>
      </xdr:grpSpPr>
      <xdr:sp macro="" textlink="">
        <xdr:nvSpPr>
          <xdr:cNvPr id="21" name="Freeform 432">
            <a:extLst>
              <a:ext uri="{FF2B5EF4-FFF2-40B4-BE49-F238E27FC236}">
                <a16:creationId xmlns:a16="http://schemas.microsoft.com/office/drawing/2014/main" id="{00000000-0008-0000-0000-000015000000}"/>
              </a:ext>
            </a:extLst>
          </xdr:cNvPr>
          <xdr:cNvSpPr>
            <a:spLocks/>
          </xdr:cNvSpPr>
        </xdr:nvSpPr>
        <xdr:spPr bwMode="auto">
          <a:xfrm>
            <a:off x="2076450" y="11877675"/>
            <a:ext cx="257175" cy="26988"/>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grpSp>
        <xdr:nvGrpSpPr>
          <xdr:cNvPr id="22" name="Group 433">
            <a:extLst>
              <a:ext uri="{FF2B5EF4-FFF2-40B4-BE49-F238E27FC236}">
                <a16:creationId xmlns:a16="http://schemas.microsoft.com/office/drawing/2014/main" id="{00000000-0008-0000-0000-000016000000}"/>
              </a:ext>
            </a:extLst>
          </xdr:cNvPr>
          <xdr:cNvGrpSpPr>
            <a:grpSpLocks/>
          </xdr:cNvGrpSpPr>
        </xdr:nvGrpSpPr>
        <xdr:grpSpPr bwMode="auto">
          <a:xfrm>
            <a:off x="2081213" y="11906791"/>
            <a:ext cx="257175" cy="255588"/>
            <a:chOff x="66" y="1320"/>
            <a:chExt cx="26" cy="28"/>
          </a:xfrm>
        </xdr:grpSpPr>
        <xdr:grpSp>
          <xdr:nvGrpSpPr>
            <xdr:cNvPr id="23" name="Group 434">
              <a:extLst>
                <a:ext uri="{FF2B5EF4-FFF2-40B4-BE49-F238E27FC236}">
                  <a16:creationId xmlns:a16="http://schemas.microsoft.com/office/drawing/2014/main" id="{00000000-0008-0000-0000-000017000000}"/>
                </a:ext>
              </a:extLst>
            </xdr:cNvPr>
            <xdr:cNvGrpSpPr>
              <a:grpSpLocks/>
            </xdr:cNvGrpSpPr>
          </xdr:nvGrpSpPr>
          <xdr:grpSpPr bwMode="auto">
            <a:xfrm>
              <a:off x="66" y="1320"/>
              <a:ext cx="26" cy="28"/>
              <a:chOff x="65" y="1284"/>
              <a:chExt cx="26" cy="28"/>
            </a:xfrm>
          </xdr:grpSpPr>
          <xdr:sp macro="" textlink="">
            <xdr:nvSpPr>
              <xdr:cNvPr id="28" name="Freeform 435">
                <a:extLst>
                  <a:ext uri="{FF2B5EF4-FFF2-40B4-BE49-F238E27FC236}">
                    <a16:creationId xmlns:a16="http://schemas.microsoft.com/office/drawing/2014/main" id="{00000000-0008-0000-0000-00001C000000}"/>
                  </a:ext>
                </a:extLst>
              </xdr:cNvPr>
              <xdr:cNvSpPr>
                <a:spLocks/>
              </xdr:cNvSpPr>
            </xdr:nvSpPr>
            <xdr:spPr bwMode="auto">
              <a:xfrm rot="10800000">
                <a:off x="65" y="1309"/>
                <a:ext cx="26" cy="3"/>
              </a:xfrm>
              <a:custGeom>
                <a:avLst/>
                <a:gdLst>
                  <a:gd name="T0" fmla="*/ 0 w 51"/>
                  <a:gd name="T1" fmla="*/ 3 h 3"/>
                  <a:gd name="T2" fmla="*/ 1 w 51"/>
                  <a:gd name="T3" fmla="*/ 0 h 3"/>
                  <a:gd name="T4" fmla="*/ 1 w 51"/>
                  <a:gd name="T5" fmla="*/ 0 h 3"/>
                  <a:gd name="T6" fmla="*/ 1 w 51"/>
                  <a:gd name="T7" fmla="*/ 3 h 3"/>
                  <a:gd name="T8" fmla="*/ 0 w 51"/>
                  <a:gd name="T9" fmla="*/ 3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3175">
                <a:solidFill>
                  <a:srgbClr val="000000"/>
                </a:solidFill>
                <a:round/>
                <a:headEnd/>
                <a:tailEnd/>
              </a:ln>
            </xdr:spPr>
          </xdr:sp>
          <xdr:sp macro="" textlink="">
            <xdr:nvSpPr>
              <xdr:cNvPr id="29" name="Rectangle 436">
                <a:extLst>
                  <a:ext uri="{FF2B5EF4-FFF2-40B4-BE49-F238E27FC236}">
                    <a16:creationId xmlns:a16="http://schemas.microsoft.com/office/drawing/2014/main" id="{00000000-0008-0000-0000-00001D000000}"/>
                  </a:ext>
                </a:extLst>
              </xdr:cNvPr>
              <xdr:cNvSpPr>
                <a:spLocks noChangeArrowheads="1"/>
              </xdr:cNvSpPr>
            </xdr:nvSpPr>
            <xdr:spPr bwMode="auto">
              <a:xfrm>
                <a:off x="65" y="1284"/>
                <a:ext cx="26" cy="25"/>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sp>
        </xdr:grpSp>
        <xdr:grpSp>
          <xdr:nvGrpSpPr>
            <xdr:cNvPr id="24" name="Group 437">
              <a:extLst>
                <a:ext uri="{FF2B5EF4-FFF2-40B4-BE49-F238E27FC236}">
                  <a16:creationId xmlns:a16="http://schemas.microsoft.com/office/drawing/2014/main" id="{00000000-0008-0000-0000-000018000000}"/>
                </a:ext>
              </a:extLst>
            </xdr:cNvPr>
            <xdr:cNvGrpSpPr>
              <a:grpSpLocks/>
            </xdr:cNvGrpSpPr>
          </xdr:nvGrpSpPr>
          <xdr:grpSpPr bwMode="auto">
            <a:xfrm>
              <a:off x="75" y="1325"/>
              <a:ext cx="8" cy="9"/>
              <a:chOff x="222" y="211"/>
              <a:chExt cx="13" cy="12"/>
            </a:xfrm>
          </xdr:grpSpPr>
          <xdr:sp macro="" textlink="">
            <xdr:nvSpPr>
              <xdr:cNvPr id="25" name="Oval 438">
                <a:extLst>
                  <a:ext uri="{FF2B5EF4-FFF2-40B4-BE49-F238E27FC236}">
                    <a16:creationId xmlns:a16="http://schemas.microsoft.com/office/drawing/2014/main" id="{00000000-0008-0000-0000-000019000000}"/>
                  </a:ext>
                </a:extLst>
              </xdr:cNvPr>
              <xdr:cNvSpPr>
                <a:spLocks noChangeArrowheads="1"/>
              </xdr:cNvSpPr>
            </xdr:nvSpPr>
            <xdr:spPr bwMode="auto">
              <a:xfrm>
                <a:off x="222" y="211"/>
                <a:ext cx="13" cy="12"/>
              </a:xfrm>
              <a:prstGeom prst="ellipse">
                <a:avLst/>
              </a:prstGeom>
              <a:solidFill>
                <a:srgbClr val="FF0000"/>
              </a:solidFill>
              <a:ln w="9525">
                <a:solidFill>
                  <a:srgbClr val="000000"/>
                </a:solidFill>
                <a:round/>
                <a:headEnd/>
                <a:tailEnd/>
              </a:ln>
            </xdr:spPr>
          </xdr:sp>
          <xdr:sp macro="" textlink="">
            <xdr:nvSpPr>
              <xdr:cNvPr id="26" name="Freeform 439">
                <a:extLst>
                  <a:ext uri="{FF2B5EF4-FFF2-40B4-BE49-F238E27FC236}">
                    <a16:creationId xmlns:a16="http://schemas.microsoft.com/office/drawing/2014/main" id="{00000000-0008-0000-0000-00001A000000}"/>
                  </a:ext>
                </a:extLst>
              </xdr:cNvPr>
              <xdr:cNvSpPr>
                <a:spLocks/>
              </xdr:cNvSpPr>
            </xdr:nvSpPr>
            <xdr:spPr bwMode="auto">
              <a:xfrm>
                <a:off x="225" y="212"/>
                <a:ext cx="8" cy="9"/>
              </a:xfrm>
              <a:custGeom>
                <a:avLst/>
                <a:gdLst>
                  <a:gd name="T0" fmla="*/ 2 w 8"/>
                  <a:gd name="T1" fmla="*/ 0 h 9"/>
                  <a:gd name="T2" fmla="*/ 6 w 8"/>
                  <a:gd name="T3" fmla="*/ 0 h 9"/>
                  <a:gd name="T4" fmla="*/ 8 w 8"/>
                  <a:gd name="T5" fmla="*/ 4 h 9"/>
                  <a:gd name="T6" fmla="*/ 6 w 8"/>
                  <a:gd name="T7" fmla="*/ 9 h 9"/>
                  <a:gd name="T8" fmla="*/ 2 w 8"/>
                  <a:gd name="T9" fmla="*/ 9 h 9"/>
                  <a:gd name="T10" fmla="*/ 0 w 8"/>
                  <a:gd name="T11" fmla="*/ 5 h 9"/>
                  <a:gd name="T12" fmla="*/ 2 w 8"/>
                  <a:gd name="T13" fmla="*/ 0 h 9"/>
                  <a:gd name="T14" fmla="*/ 0 60000 65536"/>
                  <a:gd name="T15" fmla="*/ 0 60000 65536"/>
                  <a:gd name="T16" fmla="*/ 0 60000 65536"/>
                  <a:gd name="T17" fmla="*/ 0 60000 65536"/>
                  <a:gd name="T18" fmla="*/ 0 60000 65536"/>
                  <a:gd name="T19" fmla="*/ 0 60000 65536"/>
                  <a:gd name="T20" fmla="*/ 0 60000 65536"/>
                  <a:gd name="T21" fmla="*/ 0 w 8"/>
                  <a:gd name="T22" fmla="*/ 0 h 9"/>
                  <a:gd name="T23" fmla="*/ 8 w 8"/>
                  <a:gd name="T24" fmla="*/ 9 h 9"/>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8" h="9">
                    <a:moveTo>
                      <a:pt x="2" y="0"/>
                    </a:moveTo>
                    <a:lnTo>
                      <a:pt x="6" y="0"/>
                    </a:lnTo>
                    <a:lnTo>
                      <a:pt x="8" y="4"/>
                    </a:lnTo>
                    <a:lnTo>
                      <a:pt x="6" y="9"/>
                    </a:lnTo>
                    <a:lnTo>
                      <a:pt x="2" y="9"/>
                    </a:lnTo>
                    <a:lnTo>
                      <a:pt x="0" y="5"/>
                    </a:lnTo>
                    <a:lnTo>
                      <a:pt x="2" y="0"/>
                    </a:lnTo>
                    <a:close/>
                  </a:path>
                </a:pathLst>
              </a:custGeom>
              <a:solidFill>
                <a:srgbClr val="808080"/>
              </a:solidFill>
              <a:ln w="9525">
                <a:solidFill>
                  <a:srgbClr val="000000"/>
                </a:solidFill>
                <a:round/>
                <a:headEnd/>
                <a:tailEnd/>
              </a:ln>
            </xdr:spPr>
          </xdr:sp>
          <xdr:sp macro="" textlink="">
            <xdr:nvSpPr>
              <xdr:cNvPr id="27" name="Oval 440">
                <a:extLst>
                  <a:ext uri="{FF2B5EF4-FFF2-40B4-BE49-F238E27FC236}">
                    <a16:creationId xmlns:a16="http://schemas.microsoft.com/office/drawing/2014/main" id="{00000000-0008-0000-0000-00001B000000}"/>
                  </a:ext>
                </a:extLst>
              </xdr:cNvPr>
              <xdr:cNvSpPr>
                <a:spLocks noChangeArrowheads="1"/>
              </xdr:cNvSpPr>
            </xdr:nvSpPr>
            <xdr:spPr bwMode="auto">
              <a:xfrm>
                <a:off x="227" y="215"/>
                <a:ext cx="4" cy="3"/>
              </a:xfrm>
              <a:prstGeom prst="ellipse">
                <a:avLst/>
              </a:prstGeom>
              <a:solidFill>
                <a:srgbClr val="000000"/>
              </a:solidFill>
              <a:ln w="9525">
                <a:solidFill>
                  <a:srgbClr val="000000"/>
                </a:solidFill>
                <a:round/>
                <a:headEnd/>
                <a:tailEnd/>
              </a:ln>
            </xdr:spPr>
          </xdr:sp>
        </xdr:grpSp>
      </xdr:grpSp>
    </xdr:grpSp>
    <xdr:clientData/>
  </xdr:twoCellAnchor>
  <xdr:twoCellAnchor editAs="oneCell">
    <xdr:from>
      <xdr:col>1</xdr:col>
      <xdr:colOff>574886</xdr:colOff>
      <xdr:row>47</xdr:row>
      <xdr:rowOff>1</xdr:rowOff>
    </xdr:from>
    <xdr:to>
      <xdr:col>1</xdr:col>
      <xdr:colOff>861785</xdr:colOff>
      <xdr:row>47</xdr:row>
      <xdr:rowOff>616711</xdr:rowOff>
    </xdr:to>
    <xdr:pic>
      <xdr:nvPicPr>
        <xdr:cNvPr id="30" name="Picture 3">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1743" y="16519072"/>
          <a:ext cx="286899" cy="62433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547234</xdr:colOff>
      <xdr:row>46</xdr:row>
      <xdr:rowOff>0</xdr:rowOff>
    </xdr:from>
    <xdr:to>
      <xdr:col>1</xdr:col>
      <xdr:colOff>871084</xdr:colOff>
      <xdr:row>47</xdr:row>
      <xdr:rowOff>1360</xdr:rowOff>
    </xdr:to>
    <xdr:grpSp>
      <xdr:nvGrpSpPr>
        <xdr:cNvPr id="31" name="Group 6254">
          <a:extLst>
            <a:ext uri="{FF2B5EF4-FFF2-40B4-BE49-F238E27FC236}">
              <a16:creationId xmlns:a16="http://schemas.microsoft.com/office/drawing/2014/main" id="{00000000-0008-0000-0000-00001F000000}"/>
            </a:ext>
          </a:extLst>
        </xdr:cNvPr>
        <xdr:cNvGrpSpPr>
          <a:grpSpLocks/>
        </xdr:cNvGrpSpPr>
      </xdr:nvGrpSpPr>
      <xdr:grpSpPr bwMode="auto">
        <a:xfrm>
          <a:off x="1145948" y="16023771"/>
          <a:ext cx="323850" cy="393246"/>
          <a:chOff x="73" y="225"/>
          <a:chExt cx="17" cy="75"/>
        </a:xfrm>
      </xdr:grpSpPr>
      <xdr:sp macro="" textlink="">
        <xdr:nvSpPr>
          <xdr:cNvPr id="32" name="Rectangle 696">
            <a:extLst>
              <a:ext uri="{FF2B5EF4-FFF2-40B4-BE49-F238E27FC236}">
                <a16:creationId xmlns:a16="http://schemas.microsoft.com/office/drawing/2014/main" id="{00000000-0008-0000-0000-00002000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3" name="Rectangle 697">
            <a:extLst>
              <a:ext uri="{FF2B5EF4-FFF2-40B4-BE49-F238E27FC236}">
                <a16:creationId xmlns:a16="http://schemas.microsoft.com/office/drawing/2014/main" id="{00000000-0008-0000-0000-00002100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4" name="Freeform 698">
            <a:extLst>
              <a:ext uri="{FF2B5EF4-FFF2-40B4-BE49-F238E27FC236}">
                <a16:creationId xmlns:a16="http://schemas.microsoft.com/office/drawing/2014/main" id="{00000000-0008-0000-0000-00002200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540744</xdr:colOff>
      <xdr:row>44</xdr:row>
      <xdr:rowOff>306162</xdr:rowOff>
    </xdr:from>
    <xdr:to>
      <xdr:col>1</xdr:col>
      <xdr:colOff>853912</xdr:colOff>
      <xdr:row>46</xdr:row>
      <xdr:rowOff>0</xdr:rowOff>
    </xdr:to>
    <xdr:grpSp>
      <xdr:nvGrpSpPr>
        <xdr:cNvPr id="35" name="Group 373">
          <a:extLst>
            <a:ext uri="{FF2B5EF4-FFF2-40B4-BE49-F238E27FC236}">
              <a16:creationId xmlns:a16="http://schemas.microsoft.com/office/drawing/2014/main" id="{00000000-0008-0000-0000-000023000000}"/>
            </a:ext>
          </a:extLst>
        </xdr:cNvPr>
        <xdr:cNvGrpSpPr>
          <a:grpSpLocks/>
        </xdr:cNvGrpSpPr>
      </xdr:nvGrpSpPr>
      <xdr:grpSpPr bwMode="auto">
        <a:xfrm>
          <a:off x="1139458" y="15655019"/>
          <a:ext cx="313168" cy="368752"/>
          <a:chOff x="2076450" y="11877675"/>
          <a:chExt cx="261938" cy="284704"/>
        </a:xfrm>
      </xdr:grpSpPr>
      <xdr:sp macro="" textlink="">
        <xdr:nvSpPr>
          <xdr:cNvPr id="36" name="Freeform 432">
            <a:extLst>
              <a:ext uri="{FF2B5EF4-FFF2-40B4-BE49-F238E27FC236}">
                <a16:creationId xmlns:a16="http://schemas.microsoft.com/office/drawing/2014/main" id="{00000000-0008-0000-0000-000024000000}"/>
              </a:ext>
            </a:extLst>
          </xdr:cNvPr>
          <xdr:cNvSpPr>
            <a:spLocks/>
          </xdr:cNvSpPr>
        </xdr:nvSpPr>
        <xdr:spPr bwMode="auto">
          <a:xfrm>
            <a:off x="2076450" y="11877675"/>
            <a:ext cx="257175" cy="26988"/>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grpSp>
        <xdr:nvGrpSpPr>
          <xdr:cNvPr id="37" name="Group 433">
            <a:extLst>
              <a:ext uri="{FF2B5EF4-FFF2-40B4-BE49-F238E27FC236}">
                <a16:creationId xmlns:a16="http://schemas.microsoft.com/office/drawing/2014/main" id="{00000000-0008-0000-0000-000025000000}"/>
              </a:ext>
            </a:extLst>
          </xdr:cNvPr>
          <xdr:cNvGrpSpPr>
            <a:grpSpLocks/>
          </xdr:cNvGrpSpPr>
        </xdr:nvGrpSpPr>
        <xdr:grpSpPr bwMode="auto">
          <a:xfrm>
            <a:off x="2081213" y="11906791"/>
            <a:ext cx="257175" cy="255588"/>
            <a:chOff x="66" y="1320"/>
            <a:chExt cx="26" cy="28"/>
          </a:xfrm>
        </xdr:grpSpPr>
        <xdr:grpSp>
          <xdr:nvGrpSpPr>
            <xdr:cNvPr id="38" name="Group 434">
              <a:extLst>
                <a:ext uri="{FF2B5EF4-FFF2-40B4-BE49-F238E27FC236}">
                  <a16:creationId xmlns:a16="http://schemas.microsoft.com/office/drawing/2014/main" id="{00000000-0008-0000-0000-000026000000}"/>
                </a:ext>
              </a:extLst>
            </xdr:cNvPr>
            <xdr:cNvGrpSpPr>
              <a:grpSpLocks/>
            </xdr:cNvGrpSpPr>
          </xdr:nvGrpSpPr>
          <xdr:grpSpPr bwMode="auto">
            <a:xfrm>
              <a:off x="66" y="1320"/>
              <a:ext cx="26" cy="28"/>
              <a:chOff x="65" y="1284"/>
              <a:chExt cx="26" cy="28"/>
            </a:xfrm>
          </xdr:grpSpPr>
          <xdr:sp macro="" textlink="">
            <xdr:nvSpPr>
              <xdr:cNvPr id="43" name="Freeform 435">
                <a:extLst>
                  <a:ext uri="{FF2B5EF4-FFF2-40B4-BE49-F238E27FC236}">
                    <a16:creationId xmlns:a16="http://schemas.microsoft.com/office/drawing/2014/main" id="{00000000-0008-0000-0000-00002B000000}"/>
                  </a:ext>
                </a:extLst>
              </xdr:cNvPr>
              <xdr:cNvSpPr>
                <a:spLocks/>
              </xdr:cNvSpPr>
            </xdr:nvSpPr>
            <xdr:spPr bwMode="auto">
              <a:xfrm rot="10800000">
                <a:off x="65" y="1309"/>
                <a:ext cx="26" cy="3"/>
              </a:xfrm>
              <a:custGeom>
                <a:avLst/>
                <a:gdLst>
                  <a:gd name="T0" fmla="*/ 0 w 51"/>
                  <a:gd name="T1" fmla="*/ 3 h 3"/>
                  <a:gd name="T2" fmla="*/ 1 w 51"/>
                  <a:gd name="T3" fmla="*/ 0 h 3"/>
                  <a:gd name="T4" fmla="*/ 1 w 51"/>
                  <a:gd name="T5" fmla="*/ 0 h 3"/>
                  <a:gd name="T6" fmla="*/ 1 w 51"/>
                  <a:gd name="T7" fmla="*/ 3 h 3"/>
                  <a:gd name="T8" fmla="*/ 0 w 51"/>
                  <a:gd name="T9" fmla="*/ 3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3175">
                <a:solidFill>
                  <a:srgbClr val="000000"/>
                </a:solidFill>
                <a:round/>
                <a:headEnd/>
                <a:tailEnd/>
              </a:ln>
            </xdr:spPr>
          </xdr:sp>
          <xdr:sp macro="" textlink="">
            <xdr:nvSpPr>
              <xdr:cNvPr id="44" name="Rectangle 436">
                <a:extLst>
                  <a:ext uri="{FF2B5EF4-FFF2-40B4-BE49-F238E27FC236}">
                    <a16:creationId xmlns:a16="http://schemas.microsoft.com/office/drawing/2014/main" id="{00000000-0008-0000-0000-00002C000000}"/>
                  </a:ext>
                </a:extLst>
              </xdr:cNvPr>
              <xdr:cNvSpPr>
                <a:spLocks noChangeArrowheads="1"/>
              </xdr:cNvSpPr>
            </xdr:nvSpPr>
            <xdr:spPr bwMode="auto">
              <a:xfrm>
                <a:off x="65" y="1284"/>
                <a:ext cx="26" cy="25"/>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sp>
        </xdr:grpSp>
        <xdr:grpSp>
          <xdr:nvGrpSpPr>
            <xdr:cNvPr id="39" name="Group 437">
              <a:extLst>
                <a:ext uri="{FF2B5EF4-FFF2-40B4-BE49-F238E27FC236}">
                  <a16:creationId xmlns:a16="http://schemas.microsoft.com/office/drawing/2014/main" id="{00000000-0008-0000-0000-000027000000}"/>
                </a:ext>
              </a:extLst>
            </xdr:cNvPr>
            <xdr:cNvGrpSpPr>
              <a:grpSpLocks/>
            </xdr:cNvGrpSpPr>
          </xdr:nvGrpSpPr>
          <xdr:grpSpPr bwMode="auto">
            <a:xfrm>
              <a:off x="75" y="1325"/>
              <a:ext cx="8" cy="9"/>
              <a:chOff x="222" y="211"/>
              <a:chExt cx="13" cy="12"/>
            </a:xfrm>
          </xdr:grpSpPr>
          <xdr:sp macro="" textlink="">
            <xdr:nvSpPr>
              <xdr:cNvPr id="40" name="Oval 438">
                <a:extLst>
                  <a:ext uri="{FF2B5EF4-FFF2-40B4-BE49-F238E27FC236}">
                    <a16:creationId xmlns:a16="http://schemas.microsoft.com/office/drawing/2014/main" id="{00000000-0008-0000-0000-000028000000}"/>
                  </a:ext>
                </a:extLst>
              </xdr:cNvPr>
              <xdr:cNvSpPr>
                <a:spLocks noChangeArrowheads="1"/>
              </xdr:cNvSpPr>
            </xdr:nvSpPr>
            <xdr:spPr bwMode="auto">
              <a:xfrm>
                <a:off x="222" y="211"/>
                <a:ext cx="13" cy="12"/>
              </a:xfrm>
              <a:prstGeom prst="ellipse">
                <a:avLst/>
              </a:prstGeom>
              <a:solidFill>
                <a:srgbClr val="FF0000"/>
              </a:solidFill>
              <a:ln w="9525">
                <a:solidFill>
                  <a:srgbClr val="000000"/>
                </a:solidFill>
                <a:round/>
                <a:headEnd/>
                <a:tailEnd/>
              </a:ln>
            </xdr:spPr>
          </xdr:sp>
          <xdr:sp macro="" textlink="">
            <xdr:nvSpPr>
              <xdr:cNvPr id="41" name="Freeform 439">
                <a:extLst>
                  <a:ext uri="{FF2B5EF4-FFF2-40B4-BE49-F238E27FC236}">
                    <a16:creationId xmlns:a16="http://schemas.microsoft.com/office/drawing/2014/main" id="{00000000-0008-0000-0000-000029000000}"/>
                  </a:ext>
                </a:extLst>
              </xdr:cNvPr>
              <xdr:cNvSpPr>
                <a:spLocks/>
              </xdr:cNvSpPr>
            </xdr:nvSpPr>
            <xdr:spPr bwMode="auto">
              <a:xfrm>
                <a:off x="225" y="212"/>
                <a:ext cx="8" cy="9"/>
              </a:xfrm>
              <a:custGeom>
                <a:avLst/>
                <a:gdLst>
                  <a:gd name="T0" fmla="*/ 2 w 8"/>
                  <a:gd name="T1" fmla="*/ 0 h 9"/>
                  <a:gd name="T2" fmla="*/ 6 w 8"/>
                  <a:gd name="T3" fmla="*/ 0 h 9"/>
                  <a:gd name="T4" fmla="*/ 8 w 8"/>
                  <a:gd name="T5" fmla="*/ 4 h 9"/>
                  <a:gd name="T6" fmla="*/ 6 w 8"/>
                  <a:gd name="T7" fmla="*/ 9 h 9"/>
                  <a:gd name="T8" fmla="*/ 2 w 8"/>
                  <a:gd name="T9" fmla="*/ 9 h 9"/>
                  <a:gd name="T10" fmla="*/ 0 w 8"/>
                  <a:gd name="T11" fmla="*/ 5 h 9"/>
                  <a:gd name="T12" fmla="*/ 2 w 8"/>
                  <a:gd name="T13" fmla="*/ 0 h 9"/>
                  <a:gd name="T14" fmla="*/ 0 60000 65536"/>
                  <a:gd name="T15" fmla="*/ 0 60000 65536"/>
                  <a:gd name="T16" fmla="*/ 0 60000 65536"/>
                  <a:gd name="T17" fmla="*/ 0 60000 65536"/>
                  <a:gd name="T18" fmla="*/ 0 60000 65536"/>
                  <a:gd name="T19" fmla="*/ 0 60000 65536"/>
                  <a:gd name="T20" fmla="*/ 0 60000 65536"/>
                  <a:gd name="T21" fmla="*/ 0 w 8"/>
                  <a:gd name="T22" fmla="*/ 0 h 9"/>
                  <a:gd name="T23" fmla="*/ 8 w 8"/>
                  <a:gd name="T24" fmla="*/ 9 h 9"/>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8" h="9">
                    <a:moveTo>
                      <a:pt x="2" y="0"/>
                    </a:moveTo>
                    <a:lnTo>
                      <a:pt x="6" y="0"/>
                    </a:lnTo>
                    <a:lnTo>
                      <a:pt x="8" y="4"/>
                    </a:lnTo>
                    <a:lnTo>
                      <a:pt x="6" y="9"/>
                    </a:lnTo>
                    <a:lnTo>
                      <a:pt x="2" y="9"/>
                    </a:lnTo>
                    <a:lnTo>
                      <a:pt x="0" y="5"/>
                    </a:lnTo>
                    <a:lnTo>
                      <a:pt x="2" y="0"/>
                    </a:lnTo>
                    <a:close/>
                  </a:path>
                </a:pathLst>
              </a:custGeom>
              <a:solidFill>
                <a:srgbClr val="808080"/>
              </a:solidFill>
              <a:ln w="9525">
                <a:solidFill>
                  <a:srgbClr val="000000"/>
                </a:solidFill>
                <a:round/>
                <a:headEnd/>
                <a:tailEnd/>
              </a:ln>
            </xdr:spPr>
          </xdr:sp>
          <xdr:sp macro="" textlink="">
            <xdr:nvSpPr>
              <xdr:cNvPr id="42" name="Oval 440">
                <a:extLst>
                  <a:ext uri="{FF2B5EF4-FFF2-40B4-BE49-F238E27FC236}">
                    <a16:creationId xmlns:a16="http://schemas.microsoft.com/office/drawing/2014/main" id="{00000000-0008-0000-0000-00002A000000}"/>
                  </a:ext>
                </a:extLst>
              </xdr:cNvPr>
              <xdr:cNvSpPr>
                <a:spLocks noChangeArrowheads="1"/>
              </xdr:cNvSpPr>
            </xdr:nvSpPr>
            <xdr:spPr bwMode="auto">
              <a:xfrm>
                <a:off x="227" y="215"/>
                <a:ext cx="4" cy="3"/>
              </a:xfrm>
              <a:prstGeom prst="ellipse">
                <a:avLst/>
              </a:prstGeom>
              <a:solidFill>
                <a:srgbClr val="000000"/>
              </a:solidFill>
              <a:ln w="9525">
                <a:solidFill>
                  <a:srgbClr val="000000"/>
                </a:solidFill>
                <a:round/>
                <a:headEnd/>
                <a:tailEnd/>
              </a:ln>
            </xdr:spPr>
          </xdr:sp>
        </xdr:grpSp>
      </xdr:grpSp>
    </xdr:grpSp>
    <xdr:clientData/>
  </xdr:twoCellAnchor>
  <xdr:twoCellAnchor>
    <xdr:from>
      <xdr:col>1</xdr:col>
      <xdr:colOff>538163</xdr:colOff>
      <xdr:row>43</xdr:row>
      <xdr:rowOff>127002</xdr:rowOff>
    </xdr:from>
    <xdr:to>
      <xdr:col>1</xdr:col>
      <xdr:colOff>852488</xdr:colOff>
      <xdr:row>44</xdr:row>
      <xdr:rowOff>333377</xdr:rowOff>
    </xdr:to>
    <xdr:grpSp>
      <xdr:nvGrpSpPr>
        <xdr:cNvPr id="45" name="Group 1411">
          <a:extLst>
            <a:ext uri="{FF2B5EF4-FFF2-40B4-BE49-F238E27FC236}">
              <a16:creationId xmlns:a16="http://schemas.microsoft.com/office/drawing/2014/main" id="{00000000-0008-0000-0000-00002D000000}"/>
            </a:ext>
          </a:extLst>
        </xdr:cNvPr>
        <xdr:cNvGrpSpPr>
          <a:grpSpLocks/>
        </xdr:cNvGrpSpPr>
      </xdr:nvGrpSpPr>
      <xdr:grpSpPr bwMode="auto">
        <a:xfrm>
          <a:off x="1136877" y="15258145"/>
          <a:ext cx="314325" cy="424089"/>
          <a:chOff x="1263" y="1198"/>
          <a:chExt cx="105" cy="194"/>
        </a:xfrm>
      </xdr:grpSpPr>
      <xdr:grpSp>
        <xdr:nvGrpSpPr>
          <xdr:cNvPr id="46" name="Group 1412">
            <a:extLst>
              <a:ext uri="{FF2B5EF4-FFF2-40B4-BE49-F238E27FC236}">
                <a16:creationId xmlns:a16="http://schemas.microsoft.com/office/drawing/2014/main" id="{00000000-0008-0000-0000-00002E000000}"/>
              </a:ext>
            </a:extLst>
          </xdr:cNvPr>
          <xdr:cNvGrpSpPr>
            <a:grpSpLocks/>
          </xdr:cNvGrpSpPr>
        </xdr:nvGrpSpPr>
        <xdr:grpSpPr bwMode="auto">
          <a:xfrm>
            <a:off x="1267" y="1391"/>
            <a:ext cx="91" cy="0"/>
            <a:chOff x="207" y="30"/>
            <a:chExt cx="47" cy="43"/>
          </a:xfrm>
        </xdr:grpSpPr>
        <xdr:sp macro="" textlink="">
          <xdr:nvSpPr>
            <xdr:cNvPr id="64" name="Freeform 1413">
              <a:extLst>
                <a:ext uri="{FF2B5EF4-FFF2-40B4-BE49-F238E27FC236}">
                  <a16:creationId xmlns:a16="http://schemas.microsoft.com/office/drawing/2014/main" id="{00000000-0008-0000-0000-000040000000}"/>
                </a:ext>
              </a:extLst>
            </xdr:cNvPr>
            <xdr:cNvSpPr>
              <a:spLocks/>
            </xdr:cNvSpPr>
          </xdr:nvSpPr>
          <xdr:spPr bwMode="auto">
            <a:xfrm>
              <a:off x="-4502067240475" y="19069050"/>
              <a:ext cx="49" cy="0"/>
            </a:xfrm>
            <a:custGeom>
              <a:avLst/>
              <a:gdLst/>
              <a:ahLst/>
              <a:cxnLst>
                <a:cxn ang="0">
                  <a:pos x="0" y="3"/>
                </a:cxn>
                <a:cxn ang="0">
                  <a:pos x="4" y="0"/>
                </a:cxn>
                <a:cxn ang="0">
                  <a:pos x="47" y="0"/>
                </a:cxn>
                <a:cxn ang="0">
                  <a:pos x="51" y="3"/>
                </a:cxn>
                <a:cxn ang="0">
                  <a:pos x="0" y="3"/>
                </a:cxn>
              </a:cxnLst>
              <a:rect l="0" t="0" r="r" b="b"/>
              <a:pathLst>
                <a:path w="51" h="3">
                  <a:moveTo>
                    <a:pt x="0" y="3"/>
                  </a:moveTo>
                  <a:lnTo>
                    <a:pt x="4" y="0"/>
                  </a:lnTo>
                  <a:lnTo>
                    <a:pt x="47" y="0"/>
                  </a:lnTo>
                  <a:lnTo>
                    <a:pt x="51" y="3"/>
                  </a:lnTo>
                  <a:lnTo>
                    <a:pt x="0" y="3"/>
                  </a:lnTo>
                  <a:close/>
                </a:path>
              </a:pathLst>
            </a:custGeom>
            <a:gradFill rotWithShape="0">
              <a:gsLst>
                <a:gs pos="0">
                  <a:srgbClr val="FF0000">
                    <a:gamma/>
                    <a:shade val="46275"/>
                    <a:invGamma/>
                  </a:srgbClr>
                </a:gs>
                <a:gs pos="50000">
                  <a:srgbClr val="FF0000">
                    <a:alpha val="99001"/>
                  </a:srgbClr>
                </a:gs>
                <a:gs pos="100000">
                  <a:srgbClr val="FF0000">
                    <a:gamma/>
                    <a:shade val="46275"/>
                    <a:invGamma/>
                  </a:srgbClr>
                </a:gs>
              </a:gsLst>
              <a:lin ang="0" scaled="1"/>
            </a:gradFill>
            <a:ln w="9525" cap="flat" cmpd="sng">
              <a:solidFill>
                <a:srgbClr val="000000"/>
              </a:solidFill>
              <a:prstDash val="solid"/>
              <a:round/>
              <a:headEnd/>
              <a:tailEnd/>
            </a:ln>
          </xdr:spPr>
          <xdr:txBody>
            <a:bodyPr/>
            <a:lstStyle/>
            <a:p>
              <a:endParaRPr lang="en-US"/>
            </a:p>
          </xdr:txBody>
        </xdr:sp>
        <xdr:sp macro="" textlink="">
          <xdr:nvSpPr>
            <xdr:cNvPr id="65" name="Rectangle 1414">
              <a:extLst>
                <a:ext uri="{FF2B5EF4-FFF2-40B4-BE49-F238E27FC236}">
                  <a16:creationId xmlns:a16="http://schemas.microsoft.com/office/drawing/2014/main" id="{00000000-0008-0000-0000-000041000000}"/>
                </a:ext>
              </a:extLst>
            </xdr:cNvPr>
            <xdr:cNvSpPr>
              <a:spLocks noChangeArrowheads="1"/>
            </xdr:cNvSpPr>
          </xdr:nvSpPr>
          <xdr:spPr bwMode="auto">
            <a:xfrm>
              <a:off x="1608067711908" y="19069050"/>
              <a:ext cx="8" cy="0"/>
            </a:xfrm>
            <a:prstGeom prst="rect">
              <a:avLst/>
            </a:prstGeom>
            <a:gradFill rotWithShape="0">
              <a:gsLst>
                <a:gs pos="0">
                  <a:srgbClr val="C0C0C0">
                    <a:gamma/>
                    <a:shade val="46275"/>
                    <a:invGamma/>
                  </a:srgbClr>
                </a:gs>
                <a:gs pos="50000">
                  <a:srgbClr val="C0C0C0">
                    <a:alpha val="99001"/>
                  </a:srgbClr>
                </a:gs>
                <a:gs pos="100000">
                  <a:srgbClr val="C0C0C0">
                    <a:gamma/>
                    <a:shade val="46275"/>
                    <a:invGamma/>
                  </a:srgbClr>
                </a:gs>
              </a:gsLst>
              <a:lin ang="0" scaled="1"/>
            </a:gradFill>
            <a:ln w="9525">
              <a:solidFill>
                <a:srgbClr val="000000"/>
              </a:solidFill>
              <a:miter lim="800000"/>
              <a:headEnd/>
              <a:tailEnd/>
            </a:ln>
          </xdr:spPr>
          <xdr:txBody>
            <a:bodyPr/>
            <a:lstStyle/>
            <a:p>
              <a:endParaRPr lang="en-US"/>
            </a:p>
          </xdr:txBody>
        </xdr:sp>
        <xdr:sp macro="" textlink="">
          <xdr:nvSpPr>
            <xdr:cNvPr id="66" name="Freeform 1415">
              <a:extLst>
                <a:ext uri="{FF2B5EF4-FFF2-40B4-BE49-F238E27FC236}">
                  <a16:creationId xmlns:a16="http://schemas.microsoft.com/office/drawing/2014/main" id="{00000000-0008-0000-0000-000042000000}"/>
                </a:ext>
              </a:extLst>
            </xdr:cNvPr>
            <xdr:cNvSpPr>
              <a:spLocks/>
            </xdr:cNvSpPr>
          </xdr:nvSpPr>
          <xdr:spPr bwMode="auto">
            <a:xfrm rot="-10800000">
              <a:off x="-4502067240475" y="19069050"/>
              <a:ext cx="49" cy="0"/>
            </a:xfrm>
            <a:custGeom>
              <a:avLst/>
              <a:gdLst/>
              <a:ahLst/>
              <a:cxnLst>
                <a:cxn ang="0">
                  <a:pos x="0" y="3"/>
                </a:cxn>
                <a:cxn ang="0">
                  <a:pos x="4" y="0"/>
                </a:cxn>
                <a:cxn ang="0">
                  <a:pos x="47" y="0"/>
                </a:cxn>
                <a:cxn ang="0">
                  <a:pos x="51" y="3"/>
                </a:cxn>
                <a:cxn ang="0">
                  <a:pos x="0" y="3"/>
                </a:cxn>
              </a:cxnLst>
              <a:rect l="0" t="0" r="r" b="b"/>
              <a:pathLst>
                <a:path w="51" h="3">
                  <a:moveTo>
                    <a:pt x="0" y="3"/>
                  </a:moveTo>
                  <a:lnTo>
                    <a:pt x="4" y="0"/>
                  </a:lnTo>
                  <a:lnTo>
                    <a:pt x="47" y="0"/>
                  </a:lnTo>
                  <a:lnTo>
                    <a:pt x="51" y="3"/>
                  </a:lnTo>
                  <a:lnTo>
                    <a:pt x="0" y="3"/>
                  </a:lnTo>
                  <a:close/>
                </a:path>
              </a:pathLst>
            </a:custGeom>
            <a:gradFill rotWithShape="0">
              <a:gsLst>
                <a:gs pos="0">
                  <a:srgbClr val="FF0000">
                    <a:gamma/>
                    <a:shade val="46275"/>
                    <a:invGamma/>
                  </a:srgbClr>
                </a:gs>
                <a:gs pos="50000">
                  <a:srgbClr val="FF0000">
                    <a:alpha val="99001"/>
                  </a:srgbClr>
                </a:gs>
                <a:gs pos="100000">
                  <a:srgbClr val="FF0000">
                    <a:gamma/>
                    <a:shade val="46275"/>
                    <a:invGamma/>
                  </a:srgbClr>
                </a:gs>
              </a:gsLst>
              <a:lin ang="0" scaled="1"/>
            </a:gradFill>
            <a:ln w="9525" cap="flat" cmpd="sng">
              <a:solidFill>
                <a:srgbClr val="000000"/>
              </a:solidFill>
              <a:prstDash val="solid"/>
              <a:round/>
              <a:headEnd/>
              <a:tailEnd/>
            </a:ln>
          </xdr:spPr>
          <xdr:txBody>
            <a:bodyPr/>
            <a:lstStyle/>
            <a:p>
              <a:endParaRPr lang="en-US"/>
            </a:p>
          </xdr:txBody>
        </xdr:sp>
        <xdr:sp macro="" textlink="">
          <xdr:nvSpPr>
            <xdr:cNvPr id="67" name="Rectangle 1416">
              <a:extLst>
                <a:ext uri="{FF2B5EF4-FFF2-40B4-BE49-F238E27FC236}">
                  <a16:creationId xmlns:a16="http://schemas.microsoft.com/office/drawing/2014/main" id="{00000000-0008-0000-0000-000043000000}"/>
                </a:ext>
              </a:extLst>
            </xdr:cNvPr>
            <xdr:cNvSpPr>
              <a:spLocks noChangeArrowheads="1"/>
            </xdr:cNvSpPr>
          </xdr:nvSpPr>
          <xdr:spPr bwMode="auto">
            <a:xfrm>
              <a:off x="-4502067240475" y="19069050"/>
              <a:ext cx="49" cy="0"/>
            </a:xfrm>
            <a:prstGeom prst="rect">
              <a:avLst/>
            </a:prstGeom>
            <a:gradFill rotWithShape="0">
              <a:gsLst>
                <a:gs pos="0">
                  <a:srgbClr val="FF0000">
                    <a:gamma/>
                    <a:shade val="46275"/>
                    <a:invGamma/>
                  </a:srgbClr>
                </a:gs>
                <a:gs pos="50000">
                  <a:srgbClr val="FF0000">
                    <a:alpha val="99001"/>
                  </a:srgbClr>
                </a:gs>
                <a:gs pos="100000">
                  <a:srgbClr val="FF0000">
                    <a:gamma/>
                    <a:shade val="46275"/>
                    <a:invGamma/>
                  </a:srgbClr>
                </a:gs>
              </a:gsLst>
              <a:lin ang="0" scaled="1"/>
            </a:gradFill>
            <a:ln w="9525">
              <a:solidFill>
                <a:srgbClr val="000000"/>
              </a:solidFill>
              <a:miter lim="800000"/>
              <a:headEnd/>
              <a:tailEnd/>
            </a:ln>
          </xdr:spPr>
          <xdr:txBody>
            <a:bodyPr/>
            <a:lstStyle/>
            <a:p>
              <a:endParaRPr lang="en-US"/>
            </a:p>
          </xdr:txBody>
        </xdr:sp>
        <xdr:grpSp>
          <xdr:nvGrpSpPr>
            <xdr:cNvPr id="68" name="Group 1417">
              <a:extLst>
                <a:ext uri="{FF2B5EF4-FFF2-40B4-BE49-F238E27FC236}">
                  <a16:creationId xmlns:a16="http://schemas.microsoft.com/office/drawing/2014/main" id="{00000000-0008-0000-0000-000044000000}"/>
                </a:ext>
              </a:extLst>
            </xdr:cNvPr>
            <xdr:cNvGrpSpPr>
              <a:grpSpLocks/>
            </xdr:cNvGrpSpPr>
          </xdr:nvGrpSpPr>
          <xdr:grpSpPr bwMode="auto">
            <a:xfrm>
              <a:off x="224" y="54"/>
              <a:ext cx="13" cy="12"/>
              <a:chOff x="223" y="178"/>
              <a:chExt cx="13" cy="12"/>
            </a:xfrm>
          </xdr:grpSpPr>
          <xdr:sp macro="" textlink="">
            <xdr:nvSpPr>
              <xdr:cNvPr id="69" name="Oval 1418">
                <a:extLst>
                  <a:ext uri="{FF2B5EF4-FFF2-40B4-BE49-F238E27FC236}">
                    <a16:creationId xmlns:a16="http://schemas.microsoft.com/office/drawing/2014/main" id="{00000000-0008-0000-0000-000045000000}"/>
                  </a:ext>
                </a:extLst>
              </xdr:cNvPr>
              <xdr:cNvSpPr>
                <a:spLocks noChangeArrowheads="1"/>
              </xdr:cNvSpPr>
            </xdr:nvSpPr>
            <xdr:spPr bwMode="auto">
              <a:xfrm>
                <a:off x="223" y="178"/>
                <a:ext cx="13" cy="12"/>
              </a:xfrm>
              <a:prstGeom prst="ellipse">
                <a:avLst/>
              </a:prstGeom>
              <a:solidFill>
                <a:srgbClr val="FF0000">
                  <a:alpha val="98822"/>
                </a:srgbClr>
              </a:solidFill>
              <a:ln w="9525">
                <a:solidFill>
                  <a:srgbClr val="000000"/>
                </a:solidFill>
                <a:round/>
                <a:headEnd/>
                <a:tailEnd/>
              </a:ln>
            </xdr:spPr>
          </xdr:sp>
          <xdr:sp macro="" textlink="">
            <xdr:nvSpPr>
              <xdr:cNvPr id="70" name="Freeform 1419">
                <a:extLst>
                  <a:ext uri="{FF2B5EF4-FFF2-40B4-BE49-F238E27FC236}">
                    <a16:creationId xmlns:a16="http://schemas.microsoft.com/office/drawing/2014/main" id="{00000000-0008-0000-0000-000046000000}"/>
                  </a:ext>
                </a:extLst>
              </xdr:cNvPr>
              <xdr:cNvSpPr>
                <a:spLocks/>
              </xdr:cNvSpPr>
            </xdr:nvSpPr>
            <xdr:spPr bwMode="auto">
              <a:xfrm>
                <a:off x="225" y="179"/>
                <a:ext cx="8" cy="9"/>
              </a:xfrm>
              <a:custGeom>
                <a:avLst/>
                <a:gdLst>
                  <a:gd name="T0" fmla="*/ 2 w 8"/>
                  <a:gd name="T1" fmla="*/ 0 h 9"/>
                  <a:gd name="T2" fmla="*/ 6 w 8"/>
                  <a:gd name="T3" fmla="*/ 0 h 9"/>
                  <a:gd name="T4" fmla="*/ 8 w 8"/>
                  <a:gd name="T5" fmla="*/ 4 h 9"/>
                  <a:gd name="T6" fmla="*/ 6 w 8"/>
                  <a:gd name="T7" fmla="*/ 9 h 9"/>
                  <a:gd name="T8" fmla="*/ 2 w 8"/>
                  <a:gd name="T9" fmla="*/ 9 h 9"/>
                  <a:gd name="T10" fmla="*/ 0 w 8"/>
                  <a:gd name="T11" fmla="*/ 5 h 9"/>
                  <a:gd name="T12" fmla="*/ 2 w 8"/>
                  <a:gd name="T13" fmla="*/ 0 h 9"/>
                  <a:gd name="T14" fmla="*/ 0 60000 65536"/>
                  <a:gd name="T15" fmla="*/ 0 60000 65536"/>
                  <a:gd name="T16" fmla="*/ 0 60000 65536"/>
                  <a:gd name="T17" fmla="*/ 0 60000 65536"/>
                  <a:gd name="T18" fmla="*/ 0 60000 65536"/>
                  <a:gd name="T19" fmla="*/ 0 60000 65536"/>
                  <a:gd name="T20" fmla="*/ 0 60000 65536"/>
                  <a:gd name="T21" fmla="*/ 0 w 8"/>
                  <a:gd name="T22" fmla="*/ 0 h 9"/>
                  <a:gd name="T23" fmla="*/ 8 w 8"/>
                  <a:gd name="T24" fmla="*/ 9 h 9"/>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8" h="9">
                    <a:moveTo>
                      <a:pt x="2" y="0"/>
                    </a:moveTo>
                    <a:lnTo>
                      <a:pt x="6" y="0"/>
                    </a:lnTo>
                    <a:lnTo>
                      <a:pt x="8" y="4"/>
                    </a:lnTo>
                    <a:lnTo>
                      <a:pt x="6" y="9"/>
                    </a:lnTo>
                    <a:lnTo>
                      <a:pt x="2" y="9"/>
                    </a:lnTo>
                    <a:lnTo>
                      <a:pt x="0" y="5"/>
                    </a:lnTo>
                    <a:lnTo>
                      <a:pt x="2" y="0"/>
                    </a:lnTo>
                    <a:close/>
                  </a:path>
                </a:pathLst>
              </a:custGeom>
              <a:solidFill>
                <a:srgbClr val="808080">
                  <a:alpha val="98822"/>
                </a:srgbClr>
              </a:solidFill>
              <a:ln w="9525" cap="flat" cmpd="sng">
                <a:solidFill>
                  <a:srgbClr val="000000"/>
                </a:solidFill>
                <a:prstDash val="solid"/>
                <a:round/>
                <a:headEnd/>
                <a:tailEnd/>
              </a:ln>
            </xdr:spPr>
          </xdr:sp>
          <xdr:sp macro="" textlink="">
            <xdr:nvSpPr>
              <xdr:cNvPr id="71" name="Oval 1420">
                <a:extLst>
                  <a:ext uri="{FF2B5EF4-FFF2-40B4-BE49-F238E27FC236}">
                    <a16:creationId xmlns:a16="http://schemas.microsoft.com/office/drawing/2014/main" id="{00000000-0008-0000-0000-000047000000}"/>
                  </a:ext>
                </a:extLst>
              </xdr:cNvPr>
              <xdr:cNvSpPr>
                <a:spLocks noChangeArrowheads="1"/>
              </xdr:cNvSpPr>
            </xdr:nvSpPr>
            <xdr:spPr bwMode="auto">
              <a:xfrm>
                <a:off x="227" y="182"/>
                <a:ext cx="4" cy="4"/>
              </a:xfrm>
              <a:prstGeom prst="ellipse">
                <a:avLst/>
              </a:prstGeom>
              <a:solidFill>
                <a:srgbClr val="000000">
                  <a:alpha val="98822"/>
                </a:srgbClr>
              </a:solidFill>
              <a:ln w="9525">
                <a:solidFill>
                  <a:srgbClr val="000000"/>
                </a:solidFill>
                <a:round/>
                <a:headEnd/>
                <a:tailEnd/>
              </a:ln>
            </xdr:spPr>
          </xdr:sp>
        </xdr:grpSp>
      </xdr:grpSp>
      <xdr:grpSp>
        <xdr:nvGrpSpPr>
          <xdr:cNvPr id="47" name="Group 1421">
            <a:extLst>
              <a:ext uri="{FF2B5EF4-FFF2-40B4-BE49-F238E27FC236}">
                <a16:creationId xmlns:a16="http://schemas.microsoft.com/office/drawing/2014/main" id="{00000000-0008-0000-0000-00002F000000}"/>
              </a:ext>
            </a:extLst>
          </xdr:cNvPr>
          <xdr:cNvGrpSpPr>
            <a:grpSpLocks/>
          </xdr:cNvGrpSpPr>
        </xdr:nvGrpSpPr>
        <xdr:grpSpPr bwMode="auto">
          <a:xfrm>
            <a:off x="1271" y="1391"/>
            <a:ext cx="87" cy="0"/>
            <a:chOff x="1287" y="920"/>
            <a:chExt cx="81" cy="392"/>
          </a:xfrm>
        </xdr:grpSpPr>
        <xdr:sp macro="" textlink="">
          <xdr:nvSpPr>
            <xdr:cNvPr id="59" name="Rectangle 1422">
              <a:extLst>
                <a:ext uri="{FF2B5EF4-FFF2-40B4-BE49-F238E27FC236}">
                  <a16:creationId xmlns:a16="http://schemas.microsoft.com/office/drawing/2014/main" id="{00000000-0008-0000-0000-00003B000000}"/>
                </a:ext>
              </a:extLst>
            </xdr:cNvPr>
            <xdr:cNvSpPr>
              <a:spLocks noChangeArrowheads="1"/>
            </xdr:cNvSpPr>
          </xdr:nvSpPr>
          <xdr:spPr bwMode="auto">
            <a:xfrm>
              <a:off x="-1154709111105" y="19069050"/>
              <a:ext cx="59" cy="0"/>
            </a:xfrm>
            <a:prstGeom prst="rect">
              <a:avLst/>
            </a:prstGeom>
            <a:gradFill rotWithShape="0">
              <a:gsLst>
                <a:gs pos="0">
                  <a:srgbClr val="FFFFFF">
                    <a:gamma/>
                    <a:shade val="39216"/>
                    <a:invGamma/>
                  </a:srgbClr>
                </a:gs>
                <a:gs pos="50000">
                  <a:srgbClr val="FFFFFF">
                    <a:alpha val="99001"/>
                  </a:srgbClr>
                </a:gs>
                <a:gs pos="100000">
                  <a:srgbClr val="FFFFFF">
                    <a:gamma/>
                    <a:shade val="39216"/>
                    <a:invGamma/>
                  </a:srgbClr>
                </a:gs>
              </a:gsLst>
              <a:lin ang="0" scaled="1"/>
            </a:gradFill>
            <a:ln w="9525">
              <a:solidFill>
                <a:srgbClr val="000000"/>
              </a:solidFill>
              <a:miter lim="800000"/>
              <a:headEnd/>
              <a:tailEnd/>
            </a:ln>
          </xdr:spPr>
          <xdr:txBody>
            <a:bodyPr/>
            <a:lstStyle/>
            <a:p>
              <a:endParaRPr lang="en-US"/>
            </a:p>
          </xdr:txBody>
        </xdr:sp>
        <xdr:sp macro="" textlink="">
          <xdr:nvSpPr>
            <xdr:cNvPr id="60" name="Freeform 1423">
              <a:extLst>
                <a:ext uri="{FF2B5EF4-FFF2-40B4-BE49-F238E27FC236}">
                  <a16:creationId xmlns:a16="http://schemas.microsoft.com/office/drawing/2014/main" id="{00000000-0008-0000-0000-00003C000000}"/>
                </a:ext>
              </a:extLst>
            </xdr:cNvPr>
            <xdr:cNvSpPr>
              <a:spLocks/>
            </xdr:cNvSpPr>
          </xdr:nvSpPr>
          <xdr:spPr bwMode="auto">
            <a:xfrm>
              <a:off x="2130902639025" y="19069050"/>
              <a:ext cx="74" cy="0"/>
            </a:xfrm>
            <a:custGeom>
              <a:avLst/>
              <a:gdLst/>
              <a:ahLst/>
              <a:cxnLst>
                <a:cxn ang="0">
                  <a:pos x="0" y="48"/>
                </a:cxn>
                <a:cxn ang="0">
                  <a:pos x="432" y="48"/>
                </a:cxn>
                <a:cxn ang="0">
                  <a:pos x="384" y="0"/>
                </a:cxn>
                <a:cxn ang="0">
                  <a:pos x="48" y="0"/>
                </a:cxn>
                <a:cxn ang="0">
                  <a:pos x="0" y="48"/>
                </a:cxn>
              </a:cxnLst>
              <a:rect l="0" t="0" r="r" b="b"/>
              <a:pathLst>
                <a:path w="432" h="48">
                  <a:moveTo>
                    <a:pt x="0" y="48"/>
                  </a:moveTo>
                  <a:lnTo>
                    <a:pt x="432" y="48"/>
                  </a:lnTo>
                  <a:lnTo>
                    <a:pt x="384" y="0"/>
                  </a:lnTo>
                  <a:lnTo>
                    <a:pt x="48" y="0"/>
                  </a:lnTo>
                  <a:lnTo>
                    <a:pt x="0" y="48"/>
                  </a:lnTo>
                  <a:close/>
                </a:path>
              </a:pathLst>
            </a:custGeom>
            <a:gradFill rotWithShape="0">
              <a:gsLst>
                <a:gs pos="0">
                  <a:srgbClr val="FFFFFF">
                    <a:gamma/>
                    <a:shade val="39216"/>
                    <a:invGamma/>
                  </a:srgbClr>
                </a:gs>
                <a:gs pos="50000">
                  <a:srgbClr val="FFFFFF">
                    <a:alpha val="99001"/>
                  </a:srgbClr>
                </a:gs>
                <a:gs pos="100000">
                  <a:srgbClr val="FFFFFF">
                    <a:gamma/>
                    <a:shade val="39216"/>
                    <a:invGamma/>
                  </a:srgbClr>
                </a:gs>
              </a:gsLst>
              <a:lin ang="0" scaled="1"/>
            </a:gradFill>
            <a:ln w="9525" cap="flat" cmpd="sng">
              <a:solidFill>
                <a:srgbClr val="000000"/>
              </a:solidFill>
              <a:prstDash val="solid"/>
              <a:round/>
              <a:headEnd/>
              <a:tailEnd/>
            </a:ln>
            <a:effectLst/>
          </xdr:spPr>
          <xdr:txBody>
            <a:bodyPr/>
            <a:lstStyle/>
            <a:p>
              <a:endParaRPr lang="en-US"/>
            </a:p>
          </xdr:txBody>
        </xdr:sp>
        <xdr:sp macro="" textlink="">
          <xdr:nvSpPr>
            <xdr:cNvPr id="61" name="Freeform 1424">
              <a:extLst>
                <a:ext uri="{FF2B5EF4-FFF2-40B4-BE49-F238E27FC236}">
                  <a16:creationId xmlns:a16="http://schemas.microsoft.com/office/drawing/2014/main" id="{00000000-0008-0000-0000-00003D000000}"/>
                </a:ext>
              </a:extLst>
            </xdr:cNvPr>
            <xdr:cNvSpPr>
              <a:spLocks/>
            </xdr:cNvSpPr>
          </xdr:nvSpPr>
          <xdr:spPr bwMode="auto">
            <a:xfrm flipV="1">
              <a:off x="2130902639025" y="19069050"/>
              <a:ext cx="74" cy="0"/>
            </a:xfrm>
            <a:custGeom>
              <a:avLst/>
              <a:gdLst/>
              <a:ahLst/>
              <a:cxnLst>
                <a:cxn ang="0">
                  <a:pos x="0" y="48"/>
                </a:cxn>
                <a:cxn ang="0">
                  <a:pos x="432" y="48"/>
                </a:cxn>
                <a:cxn ang="0">
                  <a:pos x="384" y="0"/>
                </a:cxn>
                <a:cxn ang="0">
                  <a:pos x="48" y="0"/>
                </a:cxn>
                <a:cxn ang="0">
                  <a:pos x="0" y="48"/>
                </a:cxn>
              </a:cxnLst>
              <a:rect l="0" t="0" r="r" b="b"/>
              <a:pathLst>
                <a:path w="432" h="48">
                  <a:moveTo>
                    <a:pt x="0" y="48"/>
                  </a:moveTo>
                  <a:lnTo>
                    <a:pt x="432" y="48"/>
                  </a:lnTo>
                  <a:lnTo>
                    <a:pt x="384" y="0"/>
                  </a:lnTo>
                  <a:lnTo>
                    <a:pt x="48" y="0"/>
                  </a:lnTo>
                  <a:lnTo>
                    <a:pt x="0" y="48"/>
                  </a:lnTo>
                  <a:close/>
                </a:path>
              </a:pathLst>
            </a:custGeom>
            <a:gradFill rotWithShape="0">
              <a:gsLst>
                <a:gs pos="0">
                  <a:srgbClr val="FFFFFF">
                    <a:gamma/>
                    <a:shade val="39216"/>
                    <a:invGamma/>
                  </a:srgbClr>
                </a:gs>
                <a:gs pos="50000">
                  <a:srgbClr val="FFFFFF">
                    <a:alpha val="99001"/>
                  </a:srgbClr>
                </a:gs>
                <a:gs pos="100000">
                  <a:srgbClr val="FFFFFF">
                    <a:gamma/>
                    <a:shade val="39216"/>
                    <a:invGamma/>
                  </a:srgbClr>
                </a:gs>
              </a:gsLst>
              <a:lin ang="0" scaled="1"/>
            </a:gradFill>
            <a:ln w="9525" cap="flat" cmpd="sng">
              <a:solidFill>
                <a:srgbClr val="000000"/>
              </a:solidFill>
              <a:prstDash val="solid"/>
              <a:round/>
              <a:headEnd/>
              <a:tailEnd/>
            </a:ln>
            <a:effectLst/>
          </xdr:spPr>
          <xdr:txBody>
            <a:bodyPr/>
            <a:lstStyle/>
            <a:p>
              <a:endParaRPr lang="en-US"/>
            </a:p>
          </xdr:txBody>
        </xdr:sp>
        <xdr:sp macro="" textlink="">
          <xdr:nvSpPr>
            <xdr:cNvPr id="62" name="Rectangle 1425">
              <a:extLst>
                <a:ext uri="{FF2B5EF4-FFF2-40B4-BE49-F238E27FC236}">
                  <a16:creationId xmlns:a16="http://schemas.microsoft.com/office/drawing/2014/main" id="{00000000-0008-0000-0000-00003E000000}"/>
                </a:ext>
              </a:extLst>
            </xdr:cNvPr>
            <xdr:cNvSpPr>
              <a:spLocks noChangeArrowheads="1"/>
            </xdr:cNvSpPr>
          </xdr:nvSpPr>
          <xdr:spPr bwMode="auto">
            <a:xfrm>
              <a:off x="-1154709111105" y="19069050"/>
              <a:ext cx="59" cy="0"/>
            </a:xfrm>
            <a:prstGeom prst="rect">
              <a:avLst/>
            </a:prstGeom>
            <a:gradFill rotWithShape="0">
              <a:gsLst>
                <a:gs pos="0">
                  <a:srgbClr val="FFFFFF">
                    <a:gamma/>
                    <a:shade val="39216"/>
                    <a:invGamma/>
                  </a:srgbClr>
                </a:gs>
                <a:gs pos="50000">
                  <a:srgbClr val="FFFFFF">
                    <a:alpha val="99001"/>
                  </a:srgbClr>
                </a:gs>
                <a:gs pos="100000">
                  <a:srgbClr val="FFFFFF">
                    <a:gamma/>
                    <a:shade val="39216"/>
                    <a:invGamma/>
                  </a:srgbClr>
                </a:gs>
              </a:gsLst>
              <a:lin ang="0" scaled="1"/>
            </a:gradFill>
            <a:ln w="9525">
              <a:solidFill>
                <a:srgbClr val="000000"/>
              </a:solidFill>
              <a:miter lim="800000"/>
              <a:headEnd/>
              <a:tailEnd/>
            </a:ln>
          </xdr:spPr>
          <xdr:txBody>
            <a:bodyPr/>
            <a:lstStyle/>
            <a:p>
              <a:endParaRPr lang="en-US"/>
            </a:p>
          </xdr:txBody>
        </xdr:sp>
        <xdr:sp macro="" textlink="">
          <xdr:nvSpPr>
            <xdr:cNvPr id="63" name="Rectangle 1426">
              <a:extLst>
                <a:ext uri="{FF2B5EF4-FFF2-40B4-BE49-F238E27FC236}">
                  <a16:creationId xmlns:a16="http://schemas.microsoft.com/office/drawing/2014/main" id="{00000000-0008-0000-0000-00003F000000}"/>
                </a:ext>
              </a:extLst>
            </xdr:cNvPr>
            <xdr:cNvSpPr>
              <a:spLocks noChangeArrowheads="1"/>
            </xdr:cNvSpPr>
          </xdr:nvSpPr>
          <xdr:spPr bwMode="auto">
            <a:xfrm>
              <a:off x="2130902639025" y="19069050"/>
              <a:ext cx="74" cy="0"/>
            </a:xfrm>
            <a:prstGeom prst="rect">
              <a:avLst/>
            </a:prstGeom>
            <a:gradFill rotWithShape="0">
              <a:gsLst>
                <a:gs pos="0">
                  <a:srgbClr val="FFFFFF">
                    <a:gamma/>
                    <a:shade val="39216"/>
                    <a:invGamma/>
                  </a:srgbClr>
                </a:gs>
                <a:gs pos="50000">
                  <a:srgbClr val="FFFFFF">
                    <a:alpha val="99001"/>
                  </a:srgbClr>
                </a:gs>
                <a:gs pos="100000">
                  <a:srgbClr val="FFFFFF">
                    <a:gamma/>
                    <a:shade val="39216"/>
                    <a:invGamma/>
                  </a:srgbClr>
                </a:gs>
              </a:gsLst>
              <a:lin ang="0" scaled="1"/>
            </a:gradFill>
            <a:ln w="9525">
              <a:solidFill>
                <a:srgbClr val="000000"/>
              </a:solidFill>
              <a:miter lim="800000"/>
              <a:headEnd/>
              <a:tailEnd/>
            </a:ln>
          </xdr:spPr>
          <xdr:txBody>
            <a:bodyPr/>
            <a:lstStyle/>
            <a:p>
              <a:endParaRPr lang="en-US"/>
            </a:p>
          </xdr:txBody>
        </xdr:sp>
      </xdr:grpSp>
      <xdr:sp macro="" textlink="">
        <xdr:nvSpPr>
          <xdr:cNvPr id="48" name="Freeform 1427">
            <a:extLst>
              <a:ext uri="{FF2B5EF4-FFF2-40B4-BE49-F238E27FC236}">
                <a16:creationId xmlns:a16="http://schemas.microsoft.com/office/drawing/2014/main" id="{00000000-0008-0000-0000-000030000000}"/>
              </a:ext>
            </a:extLst>
          </xdr:cNvPr>
          <xdr:cNvSpPr>
            <a:spLocks/>
          </xdr:cNvSpPr>
        </xdr:nvSpPr>
        <xdr:spPr bwMode="auto">
          <a:xfrm>
            <a:off x="1263" y="1198"/>
            <a:ext cx="105" cy="14"/>
          </a:xfrm>
          <a:custGeom>
            <a:avLst/>
            <a:gdLst/>
            <a:ahLst/>
            <a:cxnLst>
              <a:cxn ang="0">
                <a:pos x="0" y="3"/>
              </a:cxn>
              <a:cxn ang="0">
                <a:pos x="4" y="0"/>
              </a:cxn>
              <a:cxn ang="0">
                <a:pos x="47" y="0"/>
              </a:cxn>
              <a:cxn ang="0">
                <a:pos x="51" y="3"/>
              </a:cxn>
              <a:cxn ang="0">
                <a:pos x="0" y="3"/>
              </a:cxn>
            </a:cxnLst>
            <a:rect l="0" t="0" r="r" b="b"/>
            <a:pathLst>
              <a:path w="51" h="3">
                <a:moveTo>
                  <a:pt x="0" y="3"/>
                </a:moveTo>
                <a:lnTo>
                  <a:pt x="4" y="0"/>
                </a:lnTo>
                <a:lnTo>
                  <a:pt x="47" y="0"/>
                </a:lnTo>
                <a:lnTo>
                  <a:pt x="51" y="3"/>
                </a:lnTo>
                <a:lnTo>
                  <a:pt x="0" y="3"/>
                </a:lnTo>
                <a:close/>
              </a:path>
            </a:pathLst>
          </a:custGeom>
          <a:gradFill rotWithShape="0">
            <a:gsLst>
              <a:gs pos="0">
                <a:srgbClr val="FF0000">
                  <a:gamma/>
                  <a:shade val="46275"/>
                  <a:invGamma/>
                </a:srgbClr>
              </a:gs>
              <a:gs pos="50000">
                <a:srgbClr val="FF0000">
                  <a:alpha val="99001"/>
                </a:srgbClr>
              </a:gs>
              <a:gs pos="100000">
                <a:srgbClr val="FF0000">
                  <a:gamma/>
                  <a:shade val="46275"/>
                  <a:invGamma/>
                </a:srgbClr>
              </a:gs>
            </a:gsLst>
            <a:lin ang="0" scaled="1"/>
          </a:gradFill>
          <a:ln w="9525" cap="flat" cmpd="sng">
            <a:solidFill>
              <a:srgbClr val="000000"/>
            </a:solidFill>
            <a:prstDash val="solid"/>
            <a:round/>
            <a:headEnd/>
            <a:tailEnd/>
          </a:ln>
        </xdr:spPr>
        <xdr:txBody>
          <a:bodyPr/>
          <a:lstStyle/>
          <a:p>
            <a:endParaRPr lang="en-US"/>
          </a:p>
        </xdr:txBody>
      </xdr:sp>
      <xdr:sp macro="" textlink="">
        <xdr:nvSpPr>
          <xdr:cNvPr id="49" name="Freeform 1428">
            <a:extLst>
              <a:ext uri="{FF2B5EF4-FFF2-40B4-BE49-F238E27FC236}">
                <a16:creationId xmlns:a16="http://schemas.microsoft.com/office/drawing/2014/main" id="{00000000-0008-0000-0000-000031000000}"/>
              </a:ext>
            </a:extLst>
          </xdr:cNvPr>
          <xdr:cNvSpPr>
            <a:spLocks/>
          </xdr:cNvSpPr>
        </xdr:nvSpPr>
        <xdr:spPr bwMode="auto">
          <a:xfrm rot="-10800000">
            <a:off x="1263" y="1378"/>
            <a:ext cx="105" cy="14"/>
          </a:xfrm>
          <a:custGeom>
            <a:avLst/>
            <a:gdLst/>
            <a:ahLst/>
            <a:cxnLst>
              <a:cxn ang="0">
                <a:pos x="0" y="3"/>
              </a:cxn>
              <a:cxn ang="0">
                <a:pos x="4" y="0"/>
              </a:cxn>
              <a:cxn ang="0">
                <a:pos x="47" y="0"/>
              </a:cxn>
              <a:cxn ang="0">
                <a:pos x="51" y="3"/>
              </a:cxn>
              <a:cxn ang="0">
                <a:pos x="0" y="3"/>
              </a:cxn>
            </a:cxnLst>
            <a:rect l="0" t="0" r="r" b="b"/>
            <a:pathLst>
              <a:path w="51" h="3">
                <a:moveTo>
                  <a:pt x="0" y="3"/>
                </a:moveTo>
                <a:lnTo>
                  <a:pt x="4" y="0"/>
                </a:lnTo>
                <a:lnTo>
                  <a:pt x="47" y="0"/>
                </a:lnTo>
                <a:lnTo>
                  <a:pt x="51" y="3"/>
                </a:lnTo>
                <a:lnTo>
                  <a:pt x="0" y="3"/>
                </a:lnTo>
                <a:close/>
              </a:path>
            </a:pathLst>
          </a:custGeom>
          <a:gradFill rotWithShape="0">
            <a:gsLst>
              <a:gs pos="0">
                <a:srgbClr val="FF0000">
                  <a:gamma/>
                  <a:shade val="46275"/>
                  <a:invGamma/>
                </a:srgbClr>
              </a:gs>
              <a:gs pos="50000">
                <a:srgbClr val="FF0000">
                  <a:alpha val="99001"/>
                </a:srgbClr>
              </a:gs>
              <a:gs pos="100000">
                <a:srgbClr val="FF0000">
                  <a:gamma/>
                  <a:shade val="46275"/>
                  <a:invGamma/>
                </a:srgbClr>
              </a:gs>
            </a:gsLst>
            <a:lin ang="0" scaled="1"/>
          </a:gradFill>
          <a:ln w="9525" cap="flat" cmpd="sng">
            <a:solidFill>
              <a:srgbClr val="000000"/>
            </a:solidFill>
            <a:prstDash val="solid"/>
            <a:round/>
            <a:headEnd/>
            <a:tailEnd/>
          </a:ln>
        </xdr:spPr>
        <xdr:txBody>
          <a:bodyPr/>
          <a:lstStyle/>
          <a:p>
            <a:endParaRPr lang="en-US"/>
          </a:p>
        </xdr:txBody>
      </xdr:sp>
      <xdr:sp macro="" textlink="">
        <xdr:nvSpPr>
          <xdr:cNvPr id="50" name="Rectangle 1429">
            <a:extLst>
              <a:ext uri="{FF2B5EF4-FFF2-40B4-BE49-F238E27FC236}">
                <a16:creationId xmlns:a16="http://schemas.microsoft.com/office/drawing/2014/main" id="{00000000-0008-0000-0000-000032000000}"/>
              </a:ext>
            </a:extLst>
          </xdr:cNvPr>
          <xdr:cNvSpPr>
            <a:spLocks noChangeArrowheads="1"/>
          </xdr:cNvSpPr>
        </xdr:nvSpPr>
        <xdr:spPr bwMode="auto">
          <a:xfrm>
            <a:off x="1263" y="1212"/>
            <a:ext cx="105" cy="162"/>
          </a:xfrm>
          <a:prstGeom prst="rect">
            <a:avLst/>
          </a:prstGeom>
          <a:gradFill rotWithShape="0">
            <a:gsLst>
              <a:gs pos="0">
                <a:srgbClr val="FF0000">
                  <a:gamma/>
                  <a:shade val="46275"/>
                  <a:invGamma/>
                </a:srgbClr>
              </a:gs>
              <a:gs pos="50000">
                <a:srgbClr val="FF0000">
                  <a:alpha val="99001"/>
                </a:srgbClr>
              </a:gs>
              <a:gs pos="100000">
                <a:srgbClr val="FF0000">
                  <a:gamma/>
                  <a:shade val="46275"/>
                  <a:invGamma/>
                </a:srgbClr>
              </a:gs>
            </a:gsLst>
            <a:lin ang="0" scaled="1"/>
          </a:gradFill>
          <a:ln w="9525">
            <a:solidFill>
              <a:srgbClr val="000000"/>
            </a:solidFill>
            <a:miter lim="800000"/>
            <a:headEnd/>
            <a:tailEnd/>
          </a:ln>
        </xdr:spPr>
        <xdr:txBody>
          <a:bodyPr/>
          <a:lstStyle/>
          <a:p>
            <a:endParaRPr lang="en-US"/>
          </a:p>
        </xdr:txBody>
      </xdr:sp>
      <xdr:grpSp>
        <xdr:nvGrpSpPr>
          <xdr:cNvPr id="51" name="Group 1430">
            <a:extLst>
              <a:ext uri="{FF2B5EF4-FFF2-40B4-BE49-F238E27FC236}">
                <a16:creationId xmlns:a16="http://schemas.microsoft.com/office/drawing/2014/main" id="{00000000-0008-0000-0000-000033000000}"/>
              </a:ext>
            </a:extLst>
          </xdr:cNvPr>
          <xdr:cNvGrpSpPr>
            <a:grpSpLocks/>
          </xdr:cNvGrpSpPr>
        </xdr:nvGrpSpPr>
        <xdr:grpSpPr bwMode="auto">
          <a:xfrm>
            <a:off x="1307" y="1280"/>
            <a:ext cx="22" cy="24"/>
            <a:chOff x="223" y="178"/>
            <a:chExt cx="13" cy="12"/>
          </a:xfrm>
        </xdr:grpSpPr>
        <xdr:sp macro="" textlink="">
          <xdr:nvSpPr>
            <xdr:cNvPr id="56" name="Oval 1431">
              <a:extLst>
                <a:ext uri="{FF2B5EF4-FFF2-40B4-BE49-F238E27FC236}">
                  <a16:creationId xmlns:a16="http://schemas.microsoft.com/office/drawing/2014/main" id="{00000000-0008-0000-0000-000038000000}"/>
                </a:ext>
              </a:extLst>
            </xdr:cNvPr>
            <xdr:cNvSpPr>
              <a:spLocks noChangeArrowheads="1"/>
            </xdr:cNvSpPr>
          </xdr:nvSpPr>
          <xdr:spPr bwMode="auto">
            <a:xfrm>
              <a:off x="223" y="178"/>
              <a:ext cx="13" cy="12"/>
            </a:xfrm>
            <a:prstGeom prst="ellipse">
              <a:avLst/>
            </a:prstGeom>
            <a:solidFill>
              <a:srgbClr val="FF0000">
                <a:alpha val="98822"/>
              </a:srgbClr>
            </a:solidFill>
            <a:ln w="9525">
              <a:solidFill>
                <a:srgbClr val="000000"/>
              </a:solidFill>
              <a:round/>
              <a:headEnd/>
              <a:tailEnd/>
            </a:ln>
          </xdr:spPr>
        </xdr:sp>
        <xdr:sp macro="" textlink="">
          <xdr:nvSpPr>
            <xdr:cNvPr id="57" name="Freeform 1432">
              <a:extLst>
                <a:ext uri="{FF2B5EF4-FFF2-40B4-BE49-F238E27FC236}">
                  <a16:creationId xmlns:a16="http://schemas.microsoft.com/office/drawing/2014/main" id="{00000000-0008-0000-0000-000039000000}"/>
                </a:ext>
              </a:extLst>
            </xdr:cNvPr>
            <xdr:cNvSpPr>
              <a:spLocks/>
            </xdr:cNvSpPr>
          </xdr:nvSpPr>
          <xdr:spPr bwMode="auto">
            <a:xfrm>
              <a:off x="225" y="179"/>
              <a:ext cx="8" cy="9"/>
            </a:xfrm>
            <a:custGeom>
              <a:avLst/>
              <a:gdLst>
                <a:gd name="T0" fmla="*/ 2 w 8"/>
                <a:gd name="T1" fmla="*/ 0 h 9"/>
                <a:gd name="T2" fmla="*/ 6 w 8"/>
                <a:gd name="T3" fmla="*/ 0 h 9"/>
                <a:gd name="T4" fmla="*/ 8 w 8"/>
                <a:gd name="T5" fmla="*/ 4 h 9"/>
                <a:gd name="T6" fmla="*/ 6 w 8"/>
                <a:gd name="T7" fmla="*/ 9 h 9"/>
                <a:gd name="T8" fmla="*/ 2 w 8"/>
                <a:gd name="T9" fmla="*/ 9 h 9"/>
                <a:gd name="T10" fmla="*/ 0 w 8"/>
                <a:gd name="T11" fmla="*/ 5 h 9"/>
                <a:gd name="T12" fmla="*/ 2 w 8"/>
                <a:gd name="T13" fmla="*/ 0 h 9"/>
                <a:gd name="T14" fmla="*/ 0 60000 65536"/>
                <a:gd name="T15" fmla="*/ 0 60000 65536"/>
                <a:gd name="T16" fmla="*/ 0 60000 65536"/>
                <a:gd name="T17" fmla="*/ 0 60000 65536"/>
                <a:gd name="T18" fmla="*/ 0 60000 65536"/>
                <a:gd name="T19" fmla="*/ 0 60000 65536"/>
                <a:gd name="T20" fmla="*/ 0 60000 65536"/>
                <a:gd name="T21" fmla="*/ 0 w 8"/>
                <a:gd name="T22" fmla="*/ 0 h 9"/>
                <a:gd name="T23" fmla="*/ 8 w 8"/>
                <a:gd name="T24" fmla="*/ 9 h 9"/>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8" h="9">
                  <a:moveTo>
                    <a:pt x="2" y="0"/>
                  </a:moveTo>
                  <a:lnTo>
                    <a:pt x="6" y="0"/>
                  </a:lnTo>
                  <a:lnTo>
                    <a:pt x="8" y="4"/>
                  </a:lnTo>
                  <a:lnTo>
                    <a:pt x="6" y="9"/>
                  </a:lnTo>
                  <a:lnTo>
                    <a:pt x="2" y="9"/>
                  </a:lnTo>
                  <a:lnTo>
                    <a:pt x="0" y="5"/>
                  </a:lnTo>
                  <a:lnTo>
                    <a:pt x="2" y="0"/>
                  </a:lnTo>
                  <a:close/>
                </a:path>
              </a:pathLst>
            </a:custGeom>
            <a:solidFill>
              <a:srgbClr val="808080">
                <a:alpha val="98822"/>
              </a:srgbClr>
            </a:solidFill>
            <a:ln w="9525" cap="flat" cmpd="sng">
              <a:solidFill>
                <a:srgbClr val="000000"/>
              </a:solidFill>
              <a:prstDash val="solid"/>
              <a:round/>
              <a:headEnd/>
              <a:tailEnd/>
            </a:ln>
          </xdr:spPr>
        </xdr:sp>
        <xdr:sp macro="" textlink="">
          <xdr:nvSpPr>
            <xdr:cNvPr id="58" name="Oval 1433">
              <a:extLst>
                <a:ext uri="{FF2B5EF4-FFF2-40B4-BE49-F238E27FC236}">
                  <a16:creationId xmlns:a16="http://schemas.microsoft.com/office/drawing/2014/main" id="{00000000-0008-0000-0000-00003A000000}"/>
                </a:ext>
              </a:extLst>
            </xdr:cNvPr>
            <xdr:cNvSpPr>
              <a:spLocks noChangeArrowheads="1"/>
            </xdr:cNvSpPr>
          </xdr:nvSpPr>
          <xdr:spPr bwMode="auto">
            <a:xfrm>
              <a:off x="227" y="182"/>
              <a:ext cx="4" cy="4"/>
            </a:xfrm>
            <a:prstGeom prst="ellipse">
              <a:avLst/>
            </a:prstGeom>
            <a:solidFill>
              <a:srgbClr val="000000">
                <a:alpha val="98822"/>
              </a:srgbClr>
            </a:solidFill>
            <a:ln w="9525">
              <a:solidFill>
                <a:srgbClr val="000000"/>
              </a:solidFill>
              <a:round/>
              <a:headEnd/>
              <a:tailEnd/>
            </a:ln>
          </xdr:spPr>
        </xdr:sp>
      </xdr:grpSp>
      <xdr:sp macro="" textlink="">
        <xdr:nvSpPr>
          <xdr:cNvPr id="52" name="Oval 1434">
            <a:extLst>
              <a:ext uri="{FF2B5EF4-FFF2-40B4-BE49-F238E27FC236}">
                <a16:creationId xmlns:a16="http://schemas.microsoft.com/office/drawing/2014/main" id="{00000000-0008-0000-0000-000034000000}"/>
              </a:ext>
            </a:extLst>
          </xdr:cNvPr>
          <xdr:cNvSpPr>
            <a:spLocks noChangeArrowheads="1"/>
          </xdr:cNvSpPr>
        </xdr:nvSpPr>
        <xdr:spPr bwMode="auto">
          <a:xfrm>
            <a:off x="1305" y="1241"/>
            <a:ext cx="19" cy="22"/>
          </a:xfrm>
          <a:prstGeom prst="ellipse">
            <a:avLst/>
          </a:prstGeom>
          <a:solidFill>
            <a:srgbClr val="FFFFFF">
              <a:alpha val="98822"/>
            </a:srgbClr>
          </a:solidFill>
          <a:ln w="9525">
            <a:solidFill>
              <a:srgbClr val="000000"/>
            </a:solidFill>
            <a:round/>
            <a:headEnd/>
            <a:tailEnd/>
          </a:ln>
        </xdr:spPr>
      </xdr:sp>
      <xdr:sp macro="" textlink="">
        <xdr:nvSpPr>
          <xdr:cNvPr id="53" name="Oval 1435">
            <a:extLst>
              <a:ext uri="{FF2B5EF4-FFF2-40B4-BE49-F238E27FC236}">
                <a16:creationId xmlns:a16="http://schemas.microsoft.com/office/drawing/2014/main" id="{00000000-0008-0000-0000-000035000000}"/>
              </a:ext>
            </a:extLst>
          </xdr:cNvPr>
          <xdr:cNvSpPr>
            <a:spLocks noChangeArrowheads="1"/>
          </xdr:cNvSpPr>
        </xdr:nvSpPr>
        <xdr:spPr bwMode="auto">
          <a:xfrm>
            <a:off x="1270" y="1239"/>
            <a:ext cx="19" cy="22"/>
          </a:xfrm>
          <a:prstGeom prst="ellipse">
            <a:avLst/>
          </a:prstGeom>
          <a:solidFill>
            <a:srgbClr val="FFFFFF">
              <a:alpha val="98822"/>
            </a:srgbClr>
          </a:solidFill>
          <a:ln w="9525">
            <a:solidFill>
              <a:srgbClr val="000000"/>
            </a:solidFill>
            <a:round/>
            <a:headEnd/>
            <a:tailEnd/>
          </a:ln>
        </xdr:spPr>
      </xdr:sp>
      <xdr:sp macro="" textlink="">
        <xdr:nvSpPr>
          <xdr:cNvPr id="54" name="Oval 1436">
            <a:extLst>
              <a:ext uri="{FF2B5EF4-FFF2-40B4-BE49-F238E27FC236}">
                <a16:creationId xmlns:a16="http://schemas.microsoft.com/office/drawing/2014/main" id="{00000000-0008-0000-0000-000036000000}"/>
              </a:ext>
            </a:extLst>
          </xdr:cNvPr>
          <xdr:cNvSpPr>
            <a:spLocks noChangeArrowheads="1"/>
          </xdr:cNvSpPr>
        </xdr:nvSpPr>
        <xdr:spPr bwMode="auto">
          <a:xfrm>
            <a:off x="1342" y="1240"/>
            <a:ext cx="18" cy="22"/>
          </a:xfrm>
          <a:prstGeom prst="ellipse">
            <a:avLst/>
          </a:prstGeom>
          <a:solidFill>
            <a:srgbClr val="FFFFFF">
              <a:alpha val="98822"/>
            </a:srgbClr>
          </a:solidFill>
          <a:ln w="9525">
            <a:solidFill>
              <a:srgbClr val="000000"/>
            </a:solidFill>
            <a:round/>
            <a:headEnd/>
            <a:tailEnd/>
          </a:ln>
        </xdr:spPr>
      </xdr:sp>
      <xdr:sp macro="" textlink="">
        <xdr:nvSpPr>
          <xdr:cNvPr id="55" name="Oval 1437">
            <a:extLst>
              <a:ext uri="{FF2B5EF4-FFF2-40B4-BE49-F238E27FC236}">
                <a16:creationId xmlns:a16="http://schemas.microsoft.com/office/drawing/2014/main" id="{00000000-0008-0000-0000-000037000000}"/>
              </a:ext>
            </a:extLst>
          </xdr:cNvPr>
          <xdr:cNvSpPr>
            <a:spLocks noChangeArrowheads="1"/>
          </xdr:cNvSpPr>
        </xdr:nvSpPr>
        <xdr:spPr bwMode="auto">
          <a:xfrm>
            <a:off x="1293" y="1313"/>
            <a:ext cx="45" cy="47"/>
          </a:xfrm>
          <a:prstGeom prst="ellipse">
            <a:avLst/>
          </a:prstGeom>
          <a:gradFill rotWithShape="0">
            <a:gsLst>
              <a:gs pos="0">
                <a:srgbClr val="FFFFFF">
                  <a:alpha val="99001"/>
                </a:srgbClr>
              </a:gs>
              <a:gs pos="100000">
                <a:srgbClr val="767676"/>
              </a:gs>
            </a:gsLst>
            <a:path path="shape">
              <a:fillToRect l="50000" t="50000" r="50000" b="50000"/>
            </a:path>
          </a:gradFill>
          <a:ln w="3175">
            <a:solidFill>
              <a:srgbClr val="000000"/>
            </a:solidFill>
            <a:round/>
            <a:headEnd/>
            <a:tailEnd/>
          </a:ln>
        </xdr:spPr>
      </xdr:sp>
    </xdr:grpSp>
    <xdr:clientData/>
  </xdr:twoCellAnchor>
  <xdr:twoCellAnchor editAs="oneCell">
    <xdr:from>
      <xdr:col>16</xdr:col>
      <xdr:colOff>653141</xdr:colOff>
      <xdr:row>2</xdr:row>
      <xdr:rowOff>130854</xdr:rowOff>
    </xdr:from>
    <xdr:to>
      <xdr:col>17</xdr:col>
      <xdr:colOff>653142</xdr:colOff>
      <xdr:row>4</xdr:row>
      <xdr:rowOff>244360</xdr:rowOff>
    </xdr:to>
    <xdr:pic>
      <xdr:nvPicPr>
        <xdr:cNvPr id="72" name="Picture 662">
          <a:extLst>
            <a:ext uri="{FF2B5EF4-FFF2-40B4-BE49-F238E27FC236}">
              <a16:creationId xmlns:a16="http://schemas.microsoft.com/office/drawing/2014/main" id="{00000000-0008-0000-0000-00004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772570" y="684211"/>
          <a:ext cx="780143" cy="56707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532762</xdr:colOff>
      <xdr:row>41</xdr:row>
      <xdr:rowOff>275169</xdr:rowOff>
    </xdr:from>
    <xdr:to>
      <xdr:col>1</xdr:col>
      <xdr:colOff>847087</xdr:colOff>
      <xdr:row>43</xdr:row>
      <xdr:rowOff>120652</xdr:rowOff>
    </xdr:to>
    <xdr:grpSp>
      <xdr:nvGrpSpPr>
        <xdr:cNvPr id="73" name="Group 64">
          <a:extLst>
            <a:ext uri="{FF2B5EF4-FFF2-40B4-BE49-F238E27FC236}">
              <a16:creationId xmlns:a16="http://schemas.microsoft.com/office/drawing/2014/main" id="{00000000-0008-0000-0000-000049000000}"/>
            </a:ext>
          </a:extLst>
        </xdr:cNvPr>
        <xdr:cNvGrpSpPr>
          <a:grpSpLocks/>
        </xdr:cNvGrpSpPr>
      </xdr:nvGrpSpPr>
      <xdr:grpSpPr bwMode="auto">
        <a:xfrm>
          <a:off x="1131476" y="14916455"/>
          <a:ext cx="314325" cy="335340"/>
          <a:chOff x="66" y="971"/>
          <a:chExt cx="26" cy="57"/>
        </a:xfrm>
      </xdr:grpSpPr>
      <xdr:sp macro="" textlink="">
        <xdr:nvSpPr>
          <xdr:cNvPr id="74" name="Rectangle 65">
            <a:extLst>
              <a:ext uri="{FF2B5EF4-FFF2-40B4-BE49-F238E27FC236}">
                <a16:creationId xmlns:a16="http://schemas.microsoft.com/office/drawing/2014/main" id="{00000000-0008-0000-0000-00004A000000}"/>
              </a:ext>
            </a:extLst>
          </xdr:cNvPr>
          <xdr:cNvSpPr>
            <a:spLocks noChangeArrowheads="1"/>
          </xdr:cNvSpPr>
        </xdr:nvSpPr>
        <xdr:spPr bwMode="auto">
          <a:xfrm>
            <a:off x="66" y="978"/>
            <a:ext cx="26" cy="43"/>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75" name="Freeform 66">
            <a:extLst>
              <a:ext uri="{FF2B5EF4-FFF2-40B4-BE49-F238E27FC236}">
                <a16:creationId xmlns:a16="http://schemas.microsoft.com/office/drawing/2014/main" id="{00000000-0008-0000-0000-00004B000000}"/>
              </a:ext>
            </a:extLst>
          </xdr:cNvPr>
          <xdr:cNvSpPr>
            <a:spLocks/>
          </xdr:cNvSpPr>
        </xdr:nvSpPr>
        <xdr:spPr bwMode="auto">
          <a:xfrm>
            <a:off x="66" y="971"/>
            <a:ext cx="26" cy="7"/>
          </a:xfrm>
          <a:custGeom>
            <a:avLst/>
            <a:gdLst>
              <a:gd name="T0" fmla="*/ 0 w 51"/>
              <a:gd name="T1" fmla="*/ 2147483647 h 3"/>
              <a:gd name="T2" fmla="*/ 1 w 51"/>
              <a:gd name="T3" fmla="*/ 0 h 3"/>
              <a:gd name="T4" fmla="*/ 1 w 51"/>
              <a:gd name="T5" fmla="*/ 0 h 3"/>
              <a:gd name="T6" fmla="*/ 1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solidFill>
            <a:srgbClr val="808080"/>
          </a:solidFill>
          <a:ln w="9525">
            <a:solidFill>
              <a:srgbClr val="000000"/>
            </a:solidFill>
            <a:round/>
            <a:headEnd/>
            <a:tailEnd/>
          </a:ln>
        </xdr:spPr>
      </xdr:sp>
      <xdr:sp macro="" textlink="">
        <xdr:nvSpPr>
          <xdr:cNvPr id="76" name="Freeform 67">
            <a:extLst>
              <a:ext uri="{FF2B5EF4-FFF2-40B4-BE49-F238E27FC236}">
                <a16:creationId xmlns:a16="http://schemas.microsoft.com/office/drawing/2014/main" id="{00000000-0008-0000-0000-00004C000000}"/>
              </a:ext>
            </a:extLst>
          </xdr:cNvPr>
          <xdr:cNvSpPr>
            <a:spLocks/>
          </xdr:cNvSpPr>
        </xdr:nvSpPr>
        <xdr:spPr bwMode="auto">
          <a:xfrm rot="10800000">
            <a:off x="66" y="1021"/>
            <a:ext cx="26" cy="7"/>
          </a:xfrm>
          <a:custGeom>
            <a:avLst/>
            <a:gdLst>
              <a:gd name="T0" fmla="*/ 0 w 51"/>
              <a:gd name="T1" fmla="*/ 2147483647 h 3"/>
              <a:gd name="T2" fmla="*/ 1 w 51"/>
              <a:gd name="T3" fmla="*/ 0 h 3"/>
              <a:gd name="T4" fmla="*/ 1 w 51"/>
              <a:gd name="T5" fmla="*/ 0 h 3"/>
              <a:gd name="T6" fmla="*/ 1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solidFill>
            <a:srgbClr val="808080"/>
          </a:solidFill>
          <a:ln w="9525">
            <a:solidFill>
              <a:srgbClr val="000000"/>
            </a:solidFill>
            <a:round/>
            <a:headEnd/>
            <a:tailEnd/>
          </a:ln>
        </xdr:spPr>
      </xdr:sp>
    </xdr:grpSp>
    <xdr:clientData/>
  </xdr:twoCellAnchor>
  <xdr:twoCellAnchor editAs="oneCell">
    <xdr:from>
      <xdr:col>1</xdr:col>
      <xdr:colOff>685345</xdr:colOff>
      <xdr:row>2</xdr:row>
      <xdr:rowOff>154215</xdr:rowOff>
    </xdr:from>
    <xdr:to>
      <xdr:col>6</xdr:col>
      <xdr:colOff>13192</xdr:colOff>
      <xdr:row>4</xdr:row>
      <xdr:rowOff>201840</xdr:rowOff>
    </xdr:to>
    <xdr:pic>
      <xdr:nvPicPr>
        <xdr:cNvPr id="97" name="Picture 317">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02202" y="707572"/>
          <a:ext cx="2566347" cy="50119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571500</xdr:colOff>
      <xdr:row>59</xdr:row>
      <xdr:rowOff>28575</xdr:rowOff>
    </xdr:from>
    <xdr:to>
      <xdr:col>1</xdr:col>
      <xdr:colOff>866775</xdr:colOff>
      <xdr:row>60</xdr:row>
      <xdr:rowOff>38100</xdr:rowOff>
    </xdr:to>
    <xdr:grpSp>
      <xdr:nvGrpSpPr>
        <xdr:cNvPr id="98" name="Group 107">
          <a:extLst>
            <a:ext uri="{FF2B5EF4-FFF2-40B4-BE49-F238E27FC236}">
              <a16:creationId xmlns:a16="http://schemas.microsoft.com/office/drawing/2014/main" id="{00000000-0008-0000-0000-000062000000}"/>
            </a:ext>
          </a:extLst>
        </xdr:cNvPr>
        <xdr:cNvGrpSpPr>
          <a:grpSpLocks/>
        </xdr:cNvGrpSpPr>
      </xdr:nvGrpSpPr>
      <xdr:grpSpPr bwMode="auto">
        <a:xfrm>
          <a:off x="1170214" y="21571404"/>
          <a:ext cx="295275" cy="281667"/>
          <a:chOff x="164" y="352"/>
          <a:chExt cx="17" cy="20"/>
        </a:xfrm>
      </xdr:grpSpPr>
      <xdr:sp macro="" textlink="">
        <xdr:nvSpPr>
          <xdr:cNvPr id="99" name="Rectangle 108">
            <a:extLst>
              <a:ext uri="{FF2B5EF4-FFF2-40B4-BE49-F238E27FC236}">
                <a16:creationId xmlns:a16="http://schemas.microsoft.com/office/drawing/2014/main" id="{00000000-0008-0000-0000-00006300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100" name="Line 109">
            <a:extLst>
              <a:ext uri="{FF2B5EF4-FFF2-40B4-BE49-F238E27FC236}">
                <a16:creationId xmlns:a16="http://schemas.microsoft.com/office/drawing/2014/main" id="{00000000-0008-0000-0000-00006400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101" name="Line 110">
            <a:extLst>
              <a:ext uri="{FF2B5EF4-FFF2-40B4-BE49-F238E27FC236}">
                <a16:creationId xmlns:a16="http://schemas.microsoft.com/office/drawing/2014/main" id="{00000000-0008-0000-0000-00006500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editAs="oneCell">
    <xdr:from>
      <xdr:col>1</xdr:col>
      <xdr:colOff>570323</xdr:colOff>
      <xdr:row>60</xdr:row>
      <xdr:rowOff>45534</xdr:rowOff>
    </xdr:from>
    <xdr:to>
      <xdr:col>1</xdr:col>
      <xdr:colOff>884648</xdr:colOff>
      <xdr:row>61</xdr:row>
      <xdr:rowOff>71382</xdr:rowOff>
    </xdr:to>
    <xdr:pic>
      <xdr:nvPicPr>
        <xdr:cNvPr id="102" name="Picture 17">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86273" y="22060984"/>
          <a:ext cx="314325" cy="34969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558147</xdr:colOff>
      <xdr:row>67</xdr:row>
      <xdr:rowOff>11616</xdr:rowOff>
    </xdr:from>
    <xdr:to>
      <xdr:col>1</xdr:col>
      <xdr:colOff>876608</xdr:colOff>
      <xdr:row>68</xdr:row>
      <xdr:rowOff>21137</xdr:rowOff>
    </xdr:to>
    <xdr:pic>
      <xdr:nvPicPr>
        <xdr:cNvPr id="103" name="Picture 28">
          <a:extLst>
            <a:ext uri="{FF2B5EF4-FFF2-40B4-BE49-F238E27FC236}">
              <a16:creationId xmlns:a16="http://schemas.microsoft.com/office/drawing/2014/main" id="{00000000-0008-0000-0000-00006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75004" y="23579187"/>
          <a:ext cx="318461" cy="336094"/>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559621</xdr:colOff>
      <xdr:row>81</xdr:row>
      <xdr:rowOff>0</xdr:rowOff>
    </xdr:from>
    <xdr:to>
      <xdr:col>1</xdr:col>
      <xdr:colOff>876856</xdr:colOff>
      <xdr:row>82</xdr:row>
      <xdr:rowOff>1587</xdr:rowOff>
    </xdr:to>
    <xdr:pic>
      <xdr:nvPicPr>
        <xdr:cNvPr id="104" name="Picture 10">
          <a:extLst>
            <a:ext uri="{FF2B5EF4-FFF2-40B4-BE49-F238E27FC236}">
              <a16:creationId xmlns:a16="http://schemas.microsoft.com/office/drawing/2014/main" id="{00000000-0008-0000-0000-00006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5571" y="25222200"/>
          <a:ext cx="317235" cy="25558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573039</xdr:colOff>
      <xdr:row>81</xdr:row>
      <xdr:rowOff>238125</xdr:rowOff>
    </xdr:from>
    <xdr:to>
      <xdr:col>1</xdr:col>
      <xdr:colOff>830214</xdr:colOff>
      <xdr:row>82</xdr:row>
      <xdr:rowOff>295275</xdr:rowOff>
    </xdr:to>
    <xdr:grpSp>
      <xdr:nvGrpSpPr>
        <xdr:cNvPr id="105" name="Group 191">
          <a:extLst>
            <a:ext uri="{FF2B5EF4-FFF2-40B4-BE49-F238E27FC236}">
              <a16:creationId xmlns:a16="http://schemas.microsoft.com/office/drawing/2014/main" id="{00000000-0008-0000-0000-000069000000}"/>
            </a:ext>
          </a:extLst>
        </xdr:cNvPr>
        <xdr:cNvGrpSpPr>
          <a:grpSpLocks/>
        </xdr:cNvGrpSpPr>
      </xdr:nvGrpSpPr>
      <xdr:grpSpPr bwMode="auto">
        <a:xfrm>
          <a:off x="1171753" y="29433611"/>
          <a:ext cx="257175" cy="307521"/>
          <a:chOff x="448" y="194"/>
          <a:chExt cx="112" cy="180"/>
        </a:xfrm>
      </xdr:grpSpPr>
      <xdr:sp macro="" textlink="">
        <xdr:nvSpPr>
          <xdr:cNvPr id="106" name="Rectangle 192">
            <a:extLst>
              <a:ext uri="{FF2B5EF4-FFF2-40B4-BE49-F238E27FC236}">
                <a16:creationId xmlns:a16="http://schemas.microsoft.com/office/drawing/2014/main" id="{00000000-0008-0000-0000-00006A000000}"/>
              </a:ext>
            </a:extLst>
          </xdr:cNvPr>
          <xdr:cNvSpPr>
            <a:spLocks noChangeArrowheads="1"/>
          </xdr:cNvSpPr>
        </xdr:nvSpPr>
        <xdr:spPr bwMode="auto">
          <a:xfrm rot="10800000">
            <a:off x="448" y="194"/>
            <a:ext cx="57" cy="180"/>
          </a:xfrm>
          <a:prstGeom prst="rect">
            <a:avLst/>
          </a:prstGeom>
          <a:gradFill rotWithShape="0">
            <a:gsLst>
              <a:gs pos="0">
                <a:srgbClr val="760000"/>
              </a:gs>
              <a:gs pos="50000">
                <a:srgbClr val="FF0000"/>
              </a:gs>
              <a:gs pos="100000">
                <a:srgbClr val="760000"/>
              </a:gs>
            </a:gsLst>
            <a:lin ang="0" scaled="1"/>
          </a:gradFill>
          <a:ln w="3175">
            <a:solidFill>
              <a:srgbClr val="000000"/>
            </a:solidFill>
            <a:miter lim="800000"/>
            <a:headEnd/>
            <a:tailEnd/>
          </a:ln>
        </xdr:spPr>
      </xdr:sp>
      <xdr:sp macro="" textlink="">
        <xdr:nvSpPr>
          <xdr:cNvPr id="107" name="Rectangle 193">
            <a:extLst>
              <a:ext uri="{FF2B5EF4-FFF2-40B4-BE49-F238E27FC236}">
                <a16:creationId xmlns:a16="http://schemas.microsoft.com/office/drawing/2014/main" id="{00000000-0008-0000-0000-00006B000000}"/>
              </a:ext>
            </a:extLst>
          </xdr:cNvPr>
          <xdr:cNvSpPr>
            <a:spLocks noChangeArrowheads="1"/>
          </xdr:cNvSpPr>
        </xdr:nvSpPr>
        <xdr:spPr bwMode="auto">
          <a:xfrm rot="10800000">
            <a:off x="551" y="194"/>
            <a:ext cx="9" cy="180"/>
          </a:xfrm>
          <a:prstGeom prst="rect">
            <a:avLst/>
          </a:prstGeom>
          <a:gradFill rotWithShape="0">
            <a:gsLst>
              <a:gs pos="0">
                <a:srgbClr val="760000"/>
              </a:gs>
              <a:gs pos="50000">
                <a:srgbClr val="FF0000"/>
              </a:gs>
              <a:gs pos="100000">
                <a:srgbClr val="760000"/>
              </a:gs>
            </a:gsLst>
            <a:lin ang="0" scaled="1"/>
          </a:gradFill>
          <a:ln w="3175">
            <a:solidFill>
              <a:srgbClr val="000000"/>
            </a:solidFill>
            <a:miter lim="800000"/>
            <a:headEnd/>
            <a:tailEnd/>
          </a:ln>
        </xdr:spPr>
      </xdr:sp>
      <xdr:sp macro="" textlink="">
        <xdr:nvSpPr>
          <xdr:cNvPr id="108" name="AutoShape 194">
            <a:extLst>
              <a:ext uri="{FF2B5EF4-FFF2-40B4-BE49-F238E27FC236}">
                <a16:creationId xmlns:a16="http://schemas.microsoft.com/office/drawing/2014/main" id="{00000000-0008-0000-0000-00006C000000}"/>
              </a:ext>
            </a:extLst>
          </xdr:cNvPr>
          <xdr:cNvSpPr>
            <a:spLocks noChangeArrowheads="1"/>
          </xdr:cNvSpPr>
        </xdr:nvSpPr>
        <xdr:spPr bwMode="auto">
          <a:xfrm>
            <a:off x="524" y="194"/>
            <a:ext cx="27" cy="33"/>
          </a:xfrm>
          <a:prstGeom prst="flowChartManualInpu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sp>
      <xdr:sp macro="" textlink="">
        <xdr:nvSpPr>
          <xdr:cNvPr id="109" name="Freeform 195">
            <a:extLst>
              <a:ext uri="{FF2B5EF4-FFF2-40B4-BE49-F238E27FC236}">
                <a16:creationId xmlns:a16="http://schemas.microsoft.com/office/drawing/2014/main" id="{00000000-0008-0000-0000-00006D000000}"/>
              </a:ext>
            </a:extLst>
          </xdr:cNvPr>
          <xdr:cNvSpPr>
            <a:spLocks/>
          </xdr:cNvSpPr>
        </xdr:nvSpPr>
        <xdr:spPr bwMode="auto">
          <a:xfrm>
            <a:off x="505" y="231"/>
            <a:ext cx="29" cy="123"/>
          </a:xfrm>
          <a:custGeom>
            <a:avLst/>
            <a:gdLst>
              <a:gd name="T0" fmla="*/ 0 w 57"/>
              <a:gd name="T1" fmla="*/ 2 h 152"/>
              <a:gd name="T2" fmla="*/ 0 w 57"/>
              <a:gd name="T3" fmla="*/ 0 h 152"/>
              <a:gd name="T4" fmla="*/ 1 w 57"/>
              <a:gd name="T5" fmla="*/ 0 h 152"/>
              <a:gd name="T6" fmla="*/ 1 w 57"/>
              <a:gd name="T7" fmla="*/ 2 h 152"/>
              <a:gd name="T8" fmla="*/ 1 w 57"/>
              <a:gd name="T9" fmla="*/ 2 h 152"/>
              <a:gd name="T10" fmla="*/ 1 w 57"/>
              <a:gd name="T11" fmla="*/ 2 h 152"/>
              <a:gd name="T12" fmla="*/ 0 w 57"/>
              <a:gd name="T13" fmla="*/ 2 h 152"/>
              <a:gd name="T14" fmla="*/ 0 60000 65536"/>
              <a:gd name="T15" fmla="*/ 0 60000 65536"/>
              <a:gd name="T16" fmla="*/ 0 60000 65536"/>
              <a:gd name="T17" fmla="*/ 0 60000 65536"/>
              <a:gd name="T18" fmla="*/ 0 60000 65536"/>
              <a:gd name="T19" fmla="*/ 0 60000 65536"/>
              <a:gd name="T20" fmla="*/ 0 60000 65536"/>
              <a:gd name="T21" fmla="*/ 0 w 57"/>
              <a:gd name="T22" fmla="*/ 0 h 152"/>
              <a:gd name="T23" fmla="*/ 57 w 57"/>
              <a:gd name="T24" fmla="*/ 152 h 15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57" h="152">
                <a:moveTo>
                  <a:pt x="0" y="152"/>
                </a:moveTo>
                <a:lnTo>
                  <a:pt x="0" y="0"/>
                </a:lnTo>
                <a:lnTo>
                  <a:pt x="57" y="0"/>
                </a:lnTo>
                <a:lnTo>
                  <a:pt x="57" y="25"/>
                </a:lnTo>
                <a:lnTo>
                  <a:pt x="22" y="33"/>
                </a:lnTo>
                <a:lnTo>
                  <a:pt x="22" y="152"/>
                </a:lnTo>
                <a:lnTo>
                  <a:pt x="0" y="152"/>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110" name="Rectangle 196">
            <a:extLst>
              <a:ext uri="{FF2B5EF4-FFF2-40B4-BE49-F238E27FC236}">
                <a16:creationId xmlns:a16="http://schemas.microsoft.com/office/drawing/2014/main" id="{00000000-0008-0000-0000-00006E000000}"/>
              </a:ext>
            </a:extLst>
          </xdr:cNvPr>
          <xdr:cNvSpPr>
            <a:spLocks noChangeArrowheads="1"/>
          </xdr:cNvSpPr>
        </xdr:nvSpPr>
        <xdr:spPr bwMode="auto">
          <a:xfrm>
            <a:off x="505" y="356"/>
            <a:ext cx="20" cy="18"/>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sp>
    </xdr:grpSp>
    <xdr:clientData/>
  </xdr:twoCellAnchor>
  <xdr:twoCellAnchor editAs="oneCell">
    <xdr:from>
      <xdr:col>1</xdr:col>
      <xdr:colOff>523875</xdr:colOff>
      <xdr:row>35</xdr:row>
      <xdr:rowOff>0</xdr:rowOff>
    </xdr:from>
    <xdr:to>
      <xdr:col>1</xdr:col>
      <xdr:colOff>866775</xdr:colOff>
      <xdr:row>36</xdr:row>
      <xdr:rowOff>2840</xdr:rowOff>
    </xdr:to>
    <xdr:pic>
      <xdr:nvPicPr>
        <xdr:cNvPr id="111" name="Picture 19">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39825" y="11722100"/>
          <a:ext cx="342900" cy="326689"/>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533400</xdr:colOff>
      <xdr:row>36</xdr:row>
      <xdr:rowOff>0</xdr:rowOff>
    </xdr:from>
    <xdr:to>
      <xdr:col>1</xdr:col>
      <xdr:colOff>876300</xdr:colOff>
      <xdr:row>37</xdr:row>
      <xdr:rowOff>4121</xdr:rowOff>
    </xdr:to>
    <xdr:pic>
      <xdr:nvPicPr>
        <xdr:cNvPr id="112" name="Picture 19">
          <a:extLst>
            <a:ext uri="{FF2B5EF4-FFF2-40B4-BE49-F238E27FC236}">
              <a16:creationId xmlns:a16="http://schemas.microsoft.com/office/drawing/2014/main" id="{00000000-0008-0000-0000-000070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49350" y="12045950"/>
          <a:ext cx="34290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522817</xdr:colOff>
      <xdr:row>36</xdr:row>
      <xdr:rowOff>0</xdr:rowOff>
    </xdr:from>
    <xdr:to>
      <xdr:col>1</xdr:col>
      <xdr:colOff>865717</xdr:colOff>
      <xdr:row>37</xdr:row>
      <xdr:rowOff>4121</xdr:rowOff>
    </xdr:to>
    <xdr:pic>
      <xdr:nvPicPr>
        <xdr:cNvPr id="113" name="Picture 19">
          <a:extLst>
            <a:ext uri="{FF2B5EF4-FFF2-40B4-BE49-F238E27FC236}">
              <a16:creationId xmlns:a16="http://schemas.microsoft.com/office/drawing/2014/main" id="{00000000-0008-0000-0000-000071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38767" y="12045950"/>
          <a:ext cx="342900"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558147</xdr:colOff>
      <xdr:row>68</xdr:row>
      <xdr:rowOff>10583</xdr:rowOff>
    </xdr:from>
    <xdr:to>
      <xdr:col>1</xdr:col>
      <xdr:colOff>848297</xdr:colOff>
      <xdr:row>68</xdr:row>
      <xdr:rowOff>362857</xdr:rowOff>
    </xdr:to>
    <xdr:grpSp>
      <xdr:nvGrpSpPr>
        <xdr:cNvPr id="115" name="Group 191">
          <a:extLst>
            <a:ext uri="{FF2B5EF4-FFF2-40B4-BE49-F238E27FC236}">
              <a16:creationId xmlns:a16="http://schemas.microsoft.com/office/drawing/2014/main" id="{00000000-0008-0000-0000-000073000000}"/>
            </a:ext>
          </a:extLst>
        </xdr:cNvPr>
        <xdr:cNvGrpSpPr>
          <a:grpSpLocks/>
        </xdr:cNvGrpSpPr>
      </xdr:nvGrpSpPr>
      <xdr:grpSpPr bwMode="auto">
        <a:xfrm>
          <a:off x="1156861" y="24481669"/>
          <a:ext cx="290150" cy="352274"/>
          <a:chOff x="448" y="194"/>
          <a:chExt cx="112" cy="180"/>
        </a:xfrm>
      </xdr:grpSpPr>
      <xdr:sp macro="" textlink="">
        <xdr:nvSpPr>
          <xdr:cNvPr id="116" name="Rectangle 192">
            <a:extLst>
              <a:ext uri="{FF2B5EF4-FFF2-40B4-BE49-F238E27FC236}">
                <a16:creationId xmlns:a16="http://schemas.microsoft.com/office/drawing/2014/main" id="{00000000-0008-0000-0000-000074000000}"/>
              </a:ext>
            </a:extLst>
          </xdr:cNvPr>
          <xdr:cNvSpPr>
            <a:spLocks noChangeArrowheads="1"/>
          </xdr:cNvSpPr>
        </xdr:nvSpPr>
        <xdr:spPr bwMode="auto">
          <a:xfrm rot="10800000">
            <a:off x="448" y="194"/>
            <a:ext cx="57" cy="180"/>
          </a:xfrm>
          <a:prstGeom prst="rect">
            <a:avLst/>
          </a:prstGeom>
          <a:gradFill rotWithShape="0">
            <a:gsLst>
              <a:gs pos="0">
                <a:srgbClr val="760000"/>
              </a:gs>
              <a:gs pos="50000">
                <a:srgbClr val="FF0000"/>
              </a:gs>
              <a:gs pos="100000">
                <a:srgbClr val="760000"/>
              </a:gs>
            </a:gsLst>
            <a:lin ang="0" scaled="1"/>
          </a:gradFill>
          <a:ln w="3175">
            <a:solidFill>
              <a:srgbClr val="000000"/>
            </a:solidFill>
            <a:miter lim="800000"/>
            <a:headEnd/>
            <a:tailEnd/>
          </a:ln>
        </xdr:spPr>
      </xdr:sp>
      <xdr:sp macro="" textlink="">
        <xdr:nvSpPr>
          <xdr:cNvPr id="117" name="Rectangle 193">
            <a:extLst>
              <a:ext uri="{FF2B5EF4-FFF2-40B4-BE49-F238E27FC236}">
                <a16:creationId xmlns:a16="http://schemas.microsoft.com/office/drawing/2014/main" id="{00000000-0008-0000-0000-000075000000}"/>
              </a:ext>
            </a:extLst>
          </xdr:cNvPr>
          <xdr:cNvSpPr>
            <a:spLocks noChangeArrowheads="1"/>
          </xdr:cNvSpPr>
        </xdr:nvSpPr>
        <xdr:spPr bwMode="auto">
          <a:xfrm rot="10800000">
            <a:off x="551" y="194"/>
            <a:ext cx="9" cy="180"/>
          </a:xfrm>
          <a:prstGeom prst="rect">
            <a:avLst/>
          </a:prstGeom>
          <a:gradFill rotWithShape="0">
            <a:gsLst>
              <a:gs pos="0">
                <a:srgbClr val="760000"/>
              </a:gs>
              <a:gs pos="50000">
                <a:srgbClr val="FF0000"/>
              </a:gs>
              <a:gs pos="100000">
                <a:srgbClr val="760000"/>
              </a:gs>
            </a:gsLst>
            <a:lin ang="0" scaled="1"/>
          </a:gradFill>
          <a:ln w="3175">
            <a:solidFill>
              <a:srgbClr val="000000"/>
            </a:solidFill>
            <a:miter lim="800000"/>
            <a:headEnd/>
            <a:tailEnd/>
          </a:ln>
        </xdr:spPr>
      </xdr:sp>
      <xdr:sp macro="" textlink="">
        <xdr:nvSpPr>
          <xdr:cNvPr id="118" name="AutoShape 194">
            <a:extLst>
              <a:ext uri="{FF2B5EF4-FFF2-40B4-BE49-F238E27FC236}">
                <a16:creationId xmlns:a16="http://schemas.microsoft.com/office/drawing/2014/main" id="{00000000-0008-0000-0000-000076000000}"/>
              </a:ext>
            </a:extLst>
          </xdr:cNvPr>
          <xdr:cNvSpPr>
            <a:spLocks noChangeArrowheads="1"/>
          </xdr:cNvSpPr>
        </xdr:nvSpPr>
        <xdr:spPr bwMode="auto">
          <a:xfrm>
            <a:off x="524" y="194"/>
            <a:ext cx="27" cy="33"/>
          </a:xfrm>
          <a:prstGeom prst="flowChartManualInpu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sp>
      <xdr:sp macro="" textlink="">
        <xdr:nvSpPr>
          <xdr:cNvPr id="119" name="Freeform 195">
            <a:extLst>
              <a:ext uri="{FF2B5EF4-FFF2-40B4-BE49-F238E27FC236}">
                <a16:creationId xmlns:a16="http://schemas.microsoft.com/office/drawing/2014/main" id="{00000000-0008-0000-0000-000077000000}"/>
              </a:ext>
            </a:extLst>
          </xdr:cNvPr>
          <xdr:cNvSpPr>
            <a:spLocks/>
          </xdr:cNvSpPr>
        </xdr:nvSpPr>
        <xdr:spPr bwMode="auto">
          <a:xfrm>
            <a:off x="505" y="231"/>
            <a:ext cx="29" cy="123"/>
          </a:xfrm>
          <a:custGeom>
            <a:avLst/>
            <a:gdLst>
              <a:gd name="T0" fmla="*/ 0 w 57"/>
              <a:gd name="T1" fmla="*/ 2 h 152"/>
              <a:gd name="T2" fmla="*/ 0 w 57"/>
              <a:gd name="T3" fmla="*/ 0 h 152"/>
              <a:gd name="T4" fmla="*/ 1 w 57"/>
              <a:gd name="T5" fmla="*/ 0 h 152"/>
              <a:gd name="T6" fmla="*/ 1 w 57"/>
              <a:gd name="T7" fmla="*/ 2 h 152"/>
              <a:gd name="T8" fmla="*/ 1 w 57"/>
              <a:gd name="T9" fmla="*/ 2 h 152"/>
              <a:gd name="T10" fmla="*/ 1 w 57"/>
              <a:gd name="T11" fmla="*/ 2 h 152"/>
              <a:gd name="T12" fmla="*/ 0 w 57"/>
              <a:gd name="T13" fmla="*/ 2 h 152"/>
              <a:gd name="T14" fmla="*/ 0 60000 65536"/>
              <a:gd name="T15" fmla="*/ 0 60000 65536"/>
              <a:gd name="T16" fmla="*/ 0 60000 65536"/>
              <a:gd name="T17" fmla="*/ 0 60000 65536"/>
              <a:gd name="T18" fmla="*/ 0 60000 65536"/>
              <a:gd name="T19" fmla="*/ 0 60000 65536"/>
              <a:gd name="T20" fmla="*/ 0 60000 65536"/>
              <a:gd name="T21" fmla="*/ 0 w 57"/>
              <a:gd name="T22" fmla="*/ 0 h 152"/>
              <a:gd name="T23" fmla="*/ 57 w 57"/>
              <a:gd name="T24" fmla="*/ 152 h 15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57" h="152">
                <a:moveTo>
                  <a:pt x="0" y="152"/>
                </a:moveTo>
                <a:lnTo>
                  <a:pt x="0" y="0"/>
                </a:lnTo>
                <a:lnTo>
                  <a:pt x="57" y="0"/>
                </a:lnTo>
                <a:lnTo>
                  <a:pt x="57" y="25"/>
                </a:lnTo>
                <a:lnTo>
                  <a:pt x="22" y="33"/>
                </a:lnTo>
                <a:lnTo>
                  <a:pt x="22" y="152"/>
                </a:lnTo>
                <a:lnTo>
                  <a:pt x="0" y="152"/>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120" name="Rectangle 196">
            <a:extLst>
              <a:ext uri="{FF2B5EF4-FFF2-40B4-BE49-F238E27FC236}">
                <a16:creationId xmlns:a16="http://schemas.microsoft.com/office/drawing/2014/main" id="{00000000-0008-0000-0000-000078000000}"/>
              </a:ext>
            </a:extLst>
          </xdr:cNvPr>
          <xdr:cNvSpPr>
            <a:spLocks noChangeArrowheads="1"/>
          </xdr:cNvSpPr>
        </xdr:nvSpPr>
        <xdr:spPr bwMode="auto">
          <a:xfrm>
            <a:off x="505" y="356"/>
            <a:ext cx="20" cy="18"/>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sp>
    </xdr:grpSp>
    <xdr:clientData/>
  </xdr:twoCellAnchor>
  <xdr:twoCellAnchor>
    <xdr:from>
      <xdr:col>8</xdr:col>
      <xdr:colOff>1378479</xdr:colOff>
      <xdr:row>58</xdr:row>
      <xdr:rowOff>3386</xdr:rowOff>
    </xdr:from>
    <xdr:to>
      <xdr:col>10</xdr:col>
      <xdr:colOff>42978</xdr:colOff>
      <xdr:row>58</xdr:row>
      <xdr:rowOff>20977</xdr:rowOff>
    </xdr:to>
    <xdr:sp macro="" textlink="">
      <xdr:nvSpPr>
        <xdr:cNvPr id="121" name="Line 2015">
          <a:extLst>
            <a:ext uri="{FF2B5EF4-FFF2-40B4-BE49-F238E27FC236}">
              <a16:creationId xmlns:a16="http://schemas.microsoft.com/office/drawing/2014/main" id="{00000000-0008-0000-0000-000079000000}"/>
            </a:ext>
          </a:extLst>
        </xdr:cNvPr>
        <xdr:cNvSpPr>
          <a:spLocks noChangeShapeType="1"/>
        </xdr:cNvSpPr>
      </xdr:nvSpPr>
      <xdr:spPr bwMode="auto">
        <a:xfrm>
          <a:off x="6404050" y="20169172"/>
          <a:ext cx="877928" cy="17591"/>
        </a:xfrm>
        <a:prstGeom prst="line">
          <a:avLst/>
        </a:prstGeom>
        <a:noFill/>
        <a:ln w="9525">
          <a:solidFill>
            <a:srgbClr val="000000"/>
          </a:solidFill>
          <a:round/>
          <a:headEnd/>
          <a:tailEnd type="triangle" w="med" len="med"/>
        </a:ln>
        <a:extLst>
          <a:ext uri="{909E8E84-426E-40dd-AFC4-6F175D3DCCD1}">
            <a14:hiddenFill xmlns:a14="http://schemas.microsoft.com/office/drawing/2010/main" xmlns="">
              <a:noFill/>
            </a14:hiddenFill>
          </a:ext>
        </a:extLst>
      </xdr:spPr>
    </xdr:sp>
    <xdr:clientData/>
  </xdr:twoCellAnchor>
  <xdr:twoCellAnchor>
    <xdr:from>
      <xdr:col>1</xdr:col>
      <xdr:colOff>467902</xdr:colOff>
      <xdr:row>56</xdr:row>
      <xdr:rowOff>228600</xdr:rowOff>
    </xdr:from>
    <xdr:to>
      <xdr:col>1</xdr:col>
      <xdr:colOff>982252</xdr:colOff>
      <xdr:row>59</xdr:row>
      <xdr:rowOff>28575</xdr:rowOff>
    </xdr:to>
    <xdr:grpSp>
      <xdr:nvGrpSpPr>
        <xdr:cNvPr id="122" name="Group 39202">
          <a:extLst>
            <a:ext uri="{FF2B5EF4-FFF2-40B4-BE49-F238E27FC236}">
              <a16:creationId xmlns:a16="http://schemas.microsoft.com/office/drawing/2014/main" id="{00000000-0008-0000-0000-00007A000000}"/>
            </a:ext>
          </a:extLst>
        </xdr:cNvPr>
        <xdr:cNvGrpSpPr>
          <a:grpSpLocks/>
        </xdr:cNvGrpSpPr>
      </xdr:nvGrpSpPr>
      <xdr:grpSpPr bwMode="auto">
        <a:xfrm>
          <a:off x="1066616" y="20519571"/>
          <a:ext cx="514350" cy="1051833"/>
          <a:chOff x="97" y="1761"/>
          <a:chExt cx="55" cy="114"/>
        </a:xfrm>
      </xdr:grpSpPr>
      <xdr:grpSp>
        <xdr:nvGrpSpPr>
          <xdr:cNvPr id="123" name="Group 12026">
            <a:extLst>
              <a:ext uri="{FF2B5EF4-FFF2-40B4-BE49-F238E27FC236}">
                <a16:creationId xmlns:a16="http://schemas.microsoft.com/office/drawing/2014/main" id="{00000000-0008-0000-0000-00007B000000}"/>
              </a:ext>
            </a:extLst>
          </xdr:cNvPr>
          <xdr:cNvGrpSpPr>
            <a:grpSpLocks/>
          </xdr:cNvGrpSpPr>
        </xdr:nvGrpSpPr>
        <xdr:grpSpPr bwMode="auto">
          <a:xfrm>
            <a:off x="103" y="1761"/>
            <a:ext cx="44" cy="37"/>
            <a:chOff x="370" y="1553"/>
            <a:chExt cx="56" cy="37"/>
          </a:xfrm>
        </xdr:grpSpPr>
        <xdr:sp macro="" textlink="">
          <xdr:nvSpPr>
            <xdr:cNvPr id="152" name="Freeform 905">
              <a:extLst>
                <a:ext uri="{FF2B5EF4-FFF2-40B4-BE49-F238E27FC236}">
                  <a16:creationId xmlns:a16="http://schemas.microsoft.com/office/drawing/2014/main" id="{00000000-0008-0000-0000-000098000000}"/>
                </a:ext>
              </a:extLst>
            </xdr:cNvPr>
            <xdr:cNvSpPr>
              <a:spLocks/>
            </xdr:cNvSpPr>
          </xdr:nvSpPr>
          <xdr:spPr bwMode="auto">
            <a:xfrm>
              <a:off x="382" y="1553"/>
              <a:ext cx="30" cy="25"/>
            </a:xfrm>
            <a:custGeom>
              <a:avLst/>
              <a:gdLst>
                <a:gd name="T0" fmla="*/ 0 w 179"/>
                <a:gd name="T1" fmla="*/ 0 h 163"/>
                <a:gd name="T2" fmla="*/ 0 w 179"/>
                <a:gd name="T3" fmla="*/ 0 h 163"/>
                <a:gd name="T4" fmla="*/ 0 w 179"/>
                <a:gd name="T5" fmla="*/ 0 h 163"/>
                <a:gd name="T6" fmla="*/ 0 w 179"/>
                <a:gd name="T7" fmla="*/ 0 h 163"/>
                <a:gd name="T8" fmla="*/ 0 w 179"/>
                <a:gd name="T9" fmla="*/ 0 h 163"/>
                <a:gd name="T10" fmla="*/ 0 w 179"/>
                <a:gd name="T11" fmla="*/ 0 h 163"/>
                <a:gd name="T12" fmla="*/ 0 w 179"/>
                <a:gd name="T13" fmla="*/ 0 h 163"/>
                <a:gd name="T14" fmla="*/ 0 w 179"/>
                <a:gd name="T15" fmla="*/ 0 h 163"/>
                <a:gd name="T16" fmla="*/ 0 w 179"/>
                <a:gd name="T17" fmla="*/ 0 h 16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9"/>
                <a:gd name="T28" fmla="*/ 0 h 163"/>
                <a:gd name="T29" fmla="*/ 179 w 179"/>
                <a:gd name="T30" fmla="*/ 163 h 16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9" h="163">
                  <a:moveTo>
                    <a:pt x="0" y="21"/>
                  </a:moveTo>
                  <a:lnTo>
                    <a:pt x="23" y="0"/>
                  </a:lnTo>
                  <a:lnTo>
                    <a:pt x="157" y="0"/>
                  </a:lnTo>
                  <a:lnTo>
                    <a:pt x="179" y="21"/>
                  </a:lnTo>
                  <a:lnTo>
                    <a:pt x="179" y="142"/>
                  </a:lnTo>
                  <a:lnTo>
                    <a:pt x="157" y="163"/>
                  </a:lnTo>
                  <a:lnTo>
                    <a:pt x="23" y="163"/>
                  </a:lnTo>
                  <a:lnTo>
                    <a:pt x="0" y="142"/>
                  </a:lnTo>
                  <a:lnTo>
                    <a:pt x="0" y="21"/>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grpSp>
          <xdr:nvGrpSpPr>
            <xdr:cNvPr id="153" name="Group 2405">
              <a:extLst>
                <a:ext uri="{FF2B5EF4-FFF2-40B4-BE49-F238E27FC236}">
                  <a16:creationId xmlns:a16="http://schemas.microsoft.com/office/drawing/2014/main" id="{00000000-0008-0000-0000-000099000000}"/>
                </a:ext>
              </a:extLst>
            </xdr:cNvPr>
            <xdr:cNvGrpSpPr>
              <a:grpSpLocks/>
            </xdr:cNvGrpSpPr>
          </xdr:nvGrpSpPr>
          <xdr:grpSpPr bwMode="auto">
            <a:xfrm>
              <a:off x="370" y="1565"/>
              <a:ext cx="6" cy="18"/>
              <a:chOff x="1391" y="1709"/>
              <a:chExt cx="32" cy="39"/>
            </a:xfrm>
          </xdr:grpSpPr>
          <xdr:sp macro="" textlink="">
            <xdr:nvSpPr>
              <xdr:cNvPr id="194" name="Freeform 2406">
                <a:extLst>
                  <a:ext uri="{FF2B5EF4-FFF2-40B4-BE49-F238E27FC236}">
                    <a16:creationId xmlns:a16="http://schemas.microsoft.com/office/drawing/2014/main" id="{00000000-0008-0000-0000-0000C2000000}"/>
                  </a:ext>
                </a:extLst>
              </xdr:cNvPr>
              <xdr:cNvSpPr>
                <a:spLocks/>
              </xdr:cNvSpPr>
            </xdr:nvSpPr>
            <xdr:spPr bwMode="auto">
              <a:xfrm flipH="1">
                <a:off x="1391" y="1709"/>
                <a:ext cx="32" cy="17"/>
              </a:xfrm>
              <a:custGeom>
                <a:avLst/>
                <a:gdLst>
                  <a:gd name="T0" fmla="*/ 0 w 128"/>
                  <a:gd name="T1" fmla="*/ 0 h 160"/>
                  <a:gd name="T2" fmla="*/ 0 w 128"/>
                  <a:gd name="T3" fmla="*/ 0 h 160"/>
                  <a:gd name="T4" fmla="*/ 0 w 128"/>
                  <a:gd name="T5" fmla="*/ 0 h 160"/>
                  <a:gd name="T6" fmla="*/ 0 w 128"/>
                  <a:gd name="T7" fmla="*/ 0 h 160"/>
                  <a:gd name="T8" fmla="*/ 0 w 128"/>
                  <a:gd name="T9" fmla="*/ 0 h 160"/>
                  <a:gd name="T10" fmla="*/ 0 w 128"/>
                  <a:gd name="T11" fmla="*/ 0 h 160"/>
                  <a:gd name="T12" fmla="*/ 0 w 128"/>
                  <a:gd name="T13" fmla="*/ 0 h 160"/>
                  <a:gd name="T14" fmla="*/ 0 w 128"/>
                  <a:gd name="T15" fmla="*/ 0 h 160"/>
                  <a:gd name="T16" fmla="*/ 0 w 128"/>
                  <a:gd name="T17" fmla="*/ 0 h 160"/>
                  <a:gd name="T18" fmla="*/ 0 w 128"/>
                  <a:gd name="T19" fmla="*/ 0 h 160"/>
                  <a:gd name="T20" fmla="*/ 0 w 128"/>
                  <a:gd name="T21" fmla="*/ 0 h 160"/>
                  <a:gd name="T22" fmla="*/ 0 w 128"/>
                  <a:gd name="T23" fmla="*/ 0 h 160"/>
                  <a:gd name="T24" fmla="*/ 0 w 128"/>
                  <a:gd name="T25" fmla="*/ 0 h 160"/>
                  <a:gd name="T26" fmla="*/ 0 w 128"/>
                  <a:gd name="T27" fmla="*/ 0 h 160"/>
                  <a:gd name="T28" fmla="*/ 0 w 128"/>
                  <a:gd name="T29" fmla="*/ 0 h 160"/>
                  <a:gd name="T30" fmla="*/ 0 w 128"/>
                  <a:gd name="T31" fmla="*/ 0 h 160"/>
                  <a:gd name="T32" fmla="*/ 0 w 128"/>
                  <a:gd name="T33" fmla="*/ 0 h 160"/>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28"/>
                  <a:gd name="T52" fmla="*/ 0 h 160"/>
                  <a:gd name="T53" fmla="*/ 128 w 128"/>
                  <a:gd name="T54" fmla="*/ 160 h 160"/>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28" h="160">
                    <a:moveTo>
                      <a:pt x="0" y="0"/>
                    </a:moveTo>
                    <a:lnTo>
                      <a:pt x="119" y="0"/>
                    </a:lnTo>
                    <a:lnTo>
                      <a:pt x="100" y="16"/>
                    </a:lnTo>
                    <a:lnTo>
                      <a:pt x="123" y="27"/>
                    </a:lnTo>
                    <a:lnTo>
                      <a:pt x="102" y="42"/>
                    </a:lnTo>
                    <a:lnTo>
                      <a:pt x="123" y="55"/>
                    </a:lnTo>
                    <a:lnTo>
                      <a:pt x="104" y="68"/>
                    </a:lnTo>
                    <a:lnTo>
                      <a:pt x="128" y="82"/>
                    </a:lnTo>
                    <a:lnTo>
                      <a:pt x="106" y="96"/>
                    </a:lnTo>
                    <a:lnTo>
                      <a:pt x="126" y="108"/>
                    </a:lnTo>
                    <a:lnTo>
                      <a:pt x="107" y="124"/>
                    </a:lnTo>
                    <a:cubicBezTo>
                      <a:pt x="114" y="128"/>
                      <a:pt x="121" y="131"/>
                      <a:pt x="127" y="136"/>
                    </a:cubicBezTo>
                    <a:cubicBezTo>
                      <a:pt x="128" y="137"/>
                      <a:pt x="124" y="139"/>
                      <a:pt x="124" y="139"/>
                    </a:cubicBezTo>
                    <a:lnTo>
                      <a:pt x="107" y="148"/>
                    </a:lnTo>
                    <a:lnTo>
                      <a:pt x="127" y="160"/>
                    </a:lnTo>
                    <a:lnTo>
                      <a:pt x="8" y="159"/>
                    </a:lnTo>
                    <a:lnTo>
                      <a:pt x="0" y="0"/>
                    </a:lnTo>
                    <a:close/>
                  </a:path>
                </a:pathLst>
              </a:custGeom>
              <a:solidFill>
                <a:srgbClr val="000000"/>
              </a:solidFill>
              <a:ln w="9525" cap="flat" cmpd="sng">
                <a:solidFill>
                  <a:srgbClr val="000000"/>
                </a:solidFill>
                <a:prstDash val="solid"/>
                <a:round/>
                <a:headEnd/>
                <a:tailEnd/>
              </a:ln>
            </xdr:spPr>
          </xdr:sp>
          <xdr:sp macro="" textlink="">
            <xdr:nvSpPr>
              <xdr:cNvPr id="195" name="Freeform 2407">
                <a:extLst>
                  <a:ext uri="{FF2B5EF4-FFF2-40B4-BE49-F238E27FC236}">
                    <a16:creationId xmlns:a16="http://schemas.microsoft.com/office/drawing/2014/main" id="{00000000-0008-0000-0000-0000C3000000}"/>
                  </a:ext>
                </a:extLst>
              </xdr:cNvPr>
              <xdr:cNvSpPr>
                <a:spLocks/>
              </xdr:cNvSpPr>
            </xdr:nvSpPr>
            <xdr:spPr bwMode="auto">
              <a:xfrm flipH="1">
                <a:off x="1391" y="1731"/>
                <a:ext cx="32" cy="17"/>
              </a:xfrm>
              <a:custGeom>
                <a:avLst/>
                <a:gdLst>
                  <a:gd name="T0" fmla="*/ 0 w 128"/>
                  <a:gd name="T1" fmla="*/ 0 h 160"/>
                  <a:gd name="T2" fmla="*/ 0 w 128"/>
                  <a:gd name="T3" fmla="*/ 0 h 160"/>
                  <a:gd name="T4" fmla="*/ 0 w 128"/>
                  <a:gd name="T5" fmla="*/ 0 h 160"/>
                  <a:gd name="T6" fmla="*/ 0 w 128"/>
                  <a:gd name="T7" fmla="*/ 0 h 160"/>
                  <a:gd name="T8" fmla="*/ 0 w 128"/>
                  <a:gd name="T9" fmla="*/ 0 h 160"/>
                  <a:gd name="T10" fmla="*/ 0 w 128"/>
                  <a:gd name="T11" fmla="*/ 0 h 160"/>
                  <a:gd name="T12" fmla="*/ 0 w 128"/>
                  <a:gd name="T13" fmla="*/ 0 h 160"/>
                  <a:gd name="T14" fmla="*/ 0 w 128"/>
                  <a:gd name="T15" fmla="*/ 0 h 160"/>
                  <a:gd name="T16" fmla="*/ 0 w 128"/>
                  <a:gd name="T17" fmla="*/ 0 h 160"/>
                  <a:gd name="T18" fmla="*/ 0 w 128"/>
                  <a:gd name="T19" fmla="*/ 0 h 160"/>
                  <a:gd name="T20" fmla="*/ 0 w 128"/>
                  <a:gd name="T21" fmla="*/ 0 h 160"/>
                  <a:gd name="T22" fmla="*/ 0 w 128"/>
                  <a:gd name="T23" fmla="*/ 0 h 160"/>
                  <a:gd name="T24" fmla="*/ 0 w 128"/>
                  <a:gd name="T25" fmla="*/ 0 h 160"/>
                  <a:gd name="T26" fmla="*/ 0 w 128"/>
                  <a:gd name="T27" fmla="*/ 0 h 160"/>
                  <a:gd name="T28" fmla="*/ 0 w 128"/>
                  <a:gd name="T29" fmla="*/ 0 h 160"/>
                  <a:gd name="T30" fmla="*/ 0 w 128"/>
                  <a:gd name="T31" fmla="*/ 0 h 160"/>
                  <a:gd name="T32" fmla="*/ 0 w 128"/>
                  <a:gd name="T33" fmla="*/ 0 h 160"/>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28"/>
                  <a:gd name="T52" fmla="*/ 0 h 160"/>
                  <a:gd name="T53" fmla="*/ 128 w 128"/>
                  <a:gd name="T54" fmla="*/ 160 h 160"/>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28" h="160">
                    <a:moveTo>
                      <a:pt x="0" y="0"/>
                    </a:moveTo>
                    <a:lnTo>
                      <a:pt x="119" y="0"/>
                    </a:lnTo>
                    <a:lnTo>
                      <a:pt x="100" y="16"/>
                    </a:lnTo>
                    <a:lnTo>
                      <a:pt x="123" y="27"/>
                    </a:lnTo>
                    <a:lnTo>
                      <a:pt x="102" y="42"/>
                    </a:lnTo>
                    <a:lnTo>
                      <a:pt x="123" y="55"/>
                    </a:lnTo>
                    <a:lnTo>
                      <a:pt x="104" y="68"/>
                    </a:lnTo>
                    <a:lnTo>
                      <a:pt x="128" y="82"/>
                    </a:lnTo>
                    <a:lnTo>
                      <a:pt x="106" y="96"/>
                    </a:lnTo>
                    <a:lnTo>
                      <a:pt x="126" y="108"/>
                    </a:lnTo>
                    <a:lnTo>
                      <a:pt x="107" y="124"/>
                    </a:lnTo>
                    <a:cubicBezTo>
                      <a:pt x="114" y="128"/>
                      <a:pt x="121" y="131"/>
                      <a:pt x="127" y="136"/>
                    </a:cubicBezTo>
                    <a:cubicBezTo>
                      <a:pt x="128" y="137"/>
                      <a:pt x="124" y="139"/>
                      <a:pt x="124" y="139"/>
                    </a:cubicBezTo>
                    <a:lnTo>
                      <a:pt x="107" y="148"/>
                    </a:lnTo>
                    <a:lnTo>
                      <a:pt x="127" y="160"/>
                    </a:lnTo>
                    <a:lnTo>
                      <a:pt x="8" y="159"/>
                    </a:lnTo>
                    <a:lnTo>
                      <a:pt x="0" y="0"/>
                    </a:lnTo>
                    <a:close/>
                  </a:path>
                </a:pathLst>
              </a:custGeom>
              <a:solidFill>
                <a:srgbClr val="000000"/>
              </a:solidFill>
              <a:ln w="9525" cap="flat" cmpd="sng">
                <a:solidFill>
                  <a:srgbClr val="000000"/>
                </a:solidFill>
                <a:prstDash val="solid"/>
                <a:round/>
                <a:headEnd/>
                <a:tailEnd/>
              </a:ln>
            </xdr:spPr>
          </xdr:sp>
        </xdr:grpSp>
        <xdr:grpSp>
          <xdr:nvGrpSpPr>
            <xdr:cNvPr id="154" name="Group 2408">
              <a:extLst>
                <a:ext uri="{FF2B5EF4-FFF2-40B4-BE49-F238E27FC236}">
                  <a16:creationId xmlns:a16="http://schemas.microsoft.com/office/drawing/2014/main" id="{00000000-0008-0000-0000-00009A000000}"/>
                </a:ext>
              </a:extLst>
            </xdr:cNvPr>
            <xdr:cNvGrpSpPr>
              <a:grpSpLocks/>
            </xdr:cNvGrpSpPr>
          </xdr:nvGrpSpPr>
          <xdr:grpSpPr bwMode="auto">
            <a:xfrm>
              <a:off x="422" y="1565"/>
              <a:ext cx="4" cy="17"/>
              <a:chOff x="1506" y="1709"/>
              <a:chExt cx="31" cy="38"/>
            </a:xfrm>
          </xdr:grpSpPr>
          <xdr:sp macro="" textlink="">
            <xdr:nvSpPr>
              <xdr:cNvPr id="192" name="Freeform 2409">
                <a:extLst>
                  <a:ext uri="{FF2B5EF4-FFF2-40B4-BE49-F238E27FC236}">
                    <a16:creationId xmlns:a16="http://schemas.microsoft.com/office/drawing/2014/main" id="{00000000-0008-0000-0000-0000C0000000}"/>
                  </a:ext>
                </a:extLst>
              </xdr:cNvPr>
              <xdr:cNvSpPr>
                <a:spLocks/>
              </xdr:cNvSpPr>
            </xdr:nvSpPr>
            <xdr:spPr bwMode="auto">
              <a:xfrm>
                <a:off x="1506" y="1709"/>
                <a:ext cx="31" cy="17"/>
              </a:xfrm>
              <a:custGeom>
                <a:avLst/>
                <a:gdLst>
                  <a:gd name="T0" fmla="*/ 0 w 128"/>
                  <a:gd name="T1" fmla="*/ 0 h 160"/>
                  <a:gd name="T2" fmla="*/ 0 w 128"/>
                  <a:gd name="T3" fmla="*/ 0 h 160"/>
                  <a:gd name="T4" fmla="*/ 0 w 128"/>
                  <a:gd name="T5" fmla="*/ 0 h 160"/>
                  <a:gd name="T6" fmla="*/ 0 w 128"/>
                  <a:gd name="T7" fmla="*/ 0 h 160"/>
                  <a:gd name="T8" fmla="*/ 0 w 128"/>
                  <a:gd name="T9" fmla="*/ 0 h 160"/>
                  <a:gd name="T10" fmla="*/ 0 w 128"/>
                  <a:gd name="T11" fmla="*/ 0 h 160"/>
                  <a:gd name="T12" fmla="*/ 0 w 128"/>
                  <a:gd name="T13" fmla="*/ 0 h 160"/>
                  <a:gd name="T14" fmla="*/ 0 w 128"/>
                  <a:gd name="T15" fmla="*/ 0 h 160"/>
                  <a:gd name="T16" fmla="*/ 0 w 128"/>
                  <a:gd name="T17" fmla="*/ 0 h 160"/>
                  <a:gd name="T18" fmla="*/ 0 w 128"/>
                  <a:gd name="T19" fmla="*/ 0 h 160"/>
                  <a:gd name="T20" fmla="*/ 0 w 128"/>
                  <a:gd name="T21" fmla="*/ 0 h 160"/>
                  <a:gd name="T22" fmla="*/ 0 w 128"/>
                  <a:gd name="T23" fmla="*/ 0 h 160"/>
                  <a:gd name="T24" fmla="*/ 0 w 128"/>
                  <a:gd name="T25" fmla="*/ 0 h 160"/>
                  <a:gd name="T26" fmla="*/ 0 w 128"/>
                  <a:gd name="T27" fmla="*/ 0 h 160"/>
                  <a:gd name="T28" fmla="*/ 0 w 128"/>
                  <a:gd name="T29" fmla="*/ 0 h 160"/>
                  <a:gd name="T30" fmla="*/ 0 w 128"/>
                  <a:gd name="T31" fmla="*/ 0 h 160"/>
                  <a:gd name="T32" fmla="*/ 0 w 128"/>
                  <a:gd name="T33" fmla="*/ 0 h 160"/>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28"/>
                  <a:gd name="T52" fmla="*/ 0 h 160"/>
                  <a:gd name="T53" fmla="*/ 128 w 128"/>
                  <a:gd name="T54" fmla="*/ 160 h 160"/>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28" h="160">
                    <a:moveTo>
                      <a:pt x="0" y="0"/>
                    </a:moveTo>
                    <a:lnTo>
                      <a:pt x="119" y="0"/>
                    </a:lnTo>
                    <a:lnTo>
                      <a:pt x="100" y="16"/>
                    </a:lnTo>
                    <a:lnTo>
                      <a:pt x="123" y="27"/>
                    </a:lnTo>
                    <a:lnTo>
                      <a:pt x="102" y="42"/>
                    </a:lnTo>
                    <a:lnTo>
                      <a:pt x="123" y="55"/>
                    </a:lnTo>
                    <a:lnTo>
                      <a:pt x="104" y="68"/>
                    </a:lnTo>
                    <a:lnTo>
                      <a:pt x="128" y="82"/>
                    </a:lnTo>
                    <a:lnTo>
                      <a:pt x="106" y="96"/>
                    </a:lnTo>
                    <a:lnTo>
                      <a:pt x="126" y="108"/>
                    </a:lnTo>
                    <a:lnTo>
                      <a:pt x="107" y="124"/>
                    </a:lnTo>
                    <a:cubicBezTo>
                      <a:pt x="114" y="128"/>
                      <a:pt x="121" y="131"/>
                      <a:pt x="127" y="136"/>
                    </a:cubicBezTo>
                    <a:cubicBezTo>
                      <a:pt x="128" y="137"/>
                      <a:pt x="124" y="139"/>
                      <a:pt x="124" y="139"/>
                    </a:cubicBezTo>
                    <a:lnTo>
                      <a:pt x="107" y="148"/>
                    </a:lnTo>
                    <a:lnTo>
                      <a:pt x="127" y="160"/>
                    </a:lnTo>
                    <a:lnTo>
                      <a:pt x="8" y="159"/>
                    </a:lnTo>
                    <a:lnTo>
                      <a:pt x="0" y="0"/>
                    </a:lnTo>
                    <a:close/>
                  </a:path>
                </a:pathLst>
              </a:custGeom>
              <a:solidFill>
                <a:srgbClr val="000000"/>
              </a:solidFill>
              <a:ln w="9525" cap="flat" cmpd="sng">
                <a:solidFill>
                  <a:srgbClr val="000000"/>
                </a:solidFill>
                <a:prstDash val="solid"/>
                <a:round/>
                <a:headEnd/>
                <a:tailEnd/>
              </a:ln>
            </xdr:spPr>
          </xdr:sp>
          <xdr:sp macro="" textlink="">
            <xdr:nvSpPr>
              <xdr:cNvPr id="193" name="Freeform 2410">
                <a:extLst>
                  <a:ext uri="{FF2B5EF4-FFF2-40B4-BE49-F238E27FC236}">
                    <a16:creationId xmlns:a16="http://schemas.microsoft.com/office/drawing/2014/main" id="{00000000-0008-0000-0000-0000C1000000}"/>
                  </a:ext>
                </a:extLst>
              </xdr:cNvPr>
              <xdr:cNvSpPr>
                <a:spLocks/>
              </xdr:cNvSpPr>
            </xdr:nvSpPr>
            <xdr:spPr bwMode="auto">
              <a:xfrm>
                <a:off x="1506" y="1730"/>
                <a:ext cx="31" cy="17"/>
              </a:xfrm>
              <a:custGeom>
                <a:avLst/>
                <a:gdLst>
                  <a:gd name="T0" fmla="*/ 0 w 128"/>
                  <a:gd name="T1" fmla="*/ 0 h 160"/>
                  <a:gd name="T2" fmla="*/ 0 w 128"/>
                  <a:gd name="T3" fmla="*/ 0 h 160"/>
                  <a:gd name="T4" fmla="*/ 0 w 128"/>
                  <a:gd name="T5" fmla="*/ 0 h 160"/>
                  <a:gd name="T6" fmla="*/ 0 w 128"/>
                  <a:gd name="T7" fmla="*/ 0 h 160"/>
                  <a:gd name="T8" fmla="*/ 0 w 128"/>
                  <a:gd name="T9" fmla="*/ 0 h 160"/>
                  <a:gd name="T10" fmla="*/ 0 w 128"/>
                  <a:gd name="T11" fmla="*/ 0 h 160"/>
                  <a:gd name="T12" fmla="*/ 0 w 128"/>
                  <a:gd name="T13" fmla="*/ 0 h 160"/>
                  <a:gd name="T14" fmla="*/ 0 w 128"/>
                  <a:gd name="T15" fmla="*/ 0 h 160"/>
                  <a:gd name="T16" fmla="*/ 0 w 128"/>
                  <a:gd name="T17" fmla="*/ 0 h 160"/>
                  <a:gd name="T18" fmla="*/ 0 w 128"/>
                  <a:gd name="T19" fmla="*/ 0 h 160"/>
                  <a:gd name="T20" fmla="*/ 0 w 128"/>
                  <a:gd name="T21" fmla="*/ 0 h 160"/>
                  <a:gd name="T22" fmla="*/ 0 w 128"/>
                  <a:gd name="T23" fmla="*/ 0 h 160"/>
                  <a:gd name="T24" fmla="*/ 0 w 128"/>
                  <a:gd name="T25" fmla="*/ 0 h 160"/>
                  <a:gd name="T26" fmla="*/ 0 w 128"/>
                  <a:gd name="T27" fmla="*/ 0 h 160"/>
                  <a:gd name="T28" fmla="*/ 0 w 128"/>
                  <a:gd name="T29" fmla="*/ 0 h 160"/>
                  <a:gd name="T30" fmla="*/ 0 w 128"/>
                  <a:gd name="T31" fmla="*/ 0 h 160"/>
                  <a:gd name="T32" fmla="*/ 0 w 128"/>
                  <a:gd name="T33" fmla="*/ 0 h 160"/>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28"/>
                  <a:gd name="T52" fmla="*/ 0 h 160"/>
                  <a:gd name="T53" fmla="*/ 128 w 128"/>
                  <a:gd name="T54" fmla="*/ 160 h 160"/>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28" h="160">
                    <a:moveTo>
                      <a:pt x="0" y="0"/>
                    </a:moveTo>
                    <a:lnTo>
                      <a:pt x="119" y="0"/>
                    </a:lnTo>
                    <a:lnTo>
                      <a:pt x="100" y="16"/>
                    </a:lnTo>
                    <a:lnTo>
                      <a:pt x="123" y="27"/>
                    </a:lnTo>
                    <a:lnTo>
                      <a:pt x="102" y="42"/>
                    </a:lnTo>
                    <a:lnTo>
                      <a:pt x="123" y="55"/>
                    </a:lnTo>
                    <a:lnTo>
                      <a:pt x="104" y="68"/>
                    </a:lnTo>
                    <a:lnTo>
                      <a:pt x="128" y="82"/>
                    </a:lnTo>
                    <a:lnTo>
                      <a:pt x="106" y="96"/>
                    </a:lnTo>
                    <a:lnTo>
                      <a:pt x="126" y="108"/>
                    </a:lnTo>
                    <a:lnTo>
                      <a:pt x="107" y="124"/>
                    </a:lnTo>
                    <a:cubicBezTo>
                      <a:pt x="114" y="128"/>
                      <a:pt x="121" y="131"/>
                      <a:pt x="127" y="136"/>
                    </a:cubicBezTo>
                    <a:cubicBezTo>
                      <a:pt x="128" y="137"/>
                      <a:pt x="124" y="139"/>
                      <a:pt x="124" y="139"/>
                    </a:cubicBezTo>
                    <a:lnTo>
                      <a:pt x="107" y="148"/>
                    </a:lnTo>
                    <a:lnTo>
                      <a:pt x="127" y="160"/>
                    </a:lnTo>
                    <a:lnTo>
                      <a:pt x="8" y="159"/>
                    </a:lnTo>
                    <a:lnTo>
                      <a:pt x="0" y="0"/>
                    </a:lnTo>
                    <a:close/>
                  </a:path>
                </a:pathLst>
              </a:custGeom>
              <a:solidFill>
                <a:srgbClr val="000000"/>
              </a:solidFill>
              <a:ln w="9525" cap="flat" cmpd="sng">
                <a:solidFill>
                  <a:srgbClr val="000000"/>
                </a:solidFill>
                <a:prstDash val="solid"/>
                <a:round/>
                <a:headEnd/>
                <a:tailEnd/>
              </a:ln>
            </xdr:spPr>
          </xdr:sp>
        </xdr:grpSp>
        <xdr:grpSp>
          <xdr:nvGrpSpPr>
            <xdr:cNvPr id="155" name="Group 904">
              <a:extLst>
                <a:ext uri="{FF2B5EF4-FFF2-40B4-BE49-F238E27FC236}">
                  <a16:creationId xmlns:a16="http://schemas.microsoft.com/office/drawing/2014/main" id="{00000000-0008-0000-0000-00009B000000}"/>
                </a:ext>
              </a:extLst>
            </xdr:cNvPr>
            <xdr:cNvGrpSpPr>
              <a:grpSpLocks/>
            </xdr:cNvGrpSpPr>
          </xdr:nvGrpSpPr>
          <xdr:grpSpPr bwMode="auto">
            <a:xfrm>
              <a:off x="373" y="1559"/>
              <a:ext cx="50" cy="31"/>
              <a:chOff x="324" y="902"/>
              <a:chExt cx="36" cy="33"/>
            </a:xfrm>
          </xdr:grpSpPr>
          <xdr:sp macro="" textlink="">
            <xdr:nvSpPr>
              <xdr:cNvPr id="189" name="Freeform 905">
                <a:extLst>
                  <a:ext uri="{FF2B5EF4-FFF2-40B4-BE49-F238E27FC236}">
                    <a16:creationId xmlns:a16="http://schemas.microsoft.com/office/drawing/2014/main" id="{00000000-0008-0000-0000-0000BD000000}"/>
                  </a:ext>
                </a:extLst>
              </xdr:cNvPr>
              <xdr:cNvSpPr>
                <a:spLocks/>
              </xdr:cNvSpPr>
            </xdr:nvSpPr>
            <xdr:spPr bwMode="auto">
              <a:xfrm>
                <a:off x="324" y="902"/>
                <a:ext cx="36" cy="33"/>
              </a:xfrm>
              <a:custGeom>
                <a:avLst/>
                <a:gdLst>
                  <a:gd name="T0" fmla="*/ 0 w 179"/>
                  <a:gd name="T1" fmla="*/ 0 h 163"/>
                  <a:gd name="T2" fmla="*/ 0 w 179"/>
                  <a:gd name="T3" fmla="*/ 0 h 163"/>
                  <a:gd name="T4" fmla="*/ 0 w 179"/>
                  <a:gd name="T5" fmla="*/ 0 h 163"/>
                  <a:gd name="T6" fmla="*/ 0 w 179"/>
                  <a:gd name="T7" fmla="*/ 0 h 163"/>
                  <a:gd name="T8" fmla="*/ 0 w 179"/>
                  <a:gd name="T9" fmla="*/ 0 h 163"/>
                  <a:gd name="T10" fmla="*/ 0 w 179"/>
                  <a:gd name="T11" fmla="*/ 0 h 163"/>
                  <a:gd name="T12" fmla="*/ 0 w 179"/>
                  <a:gd name="T13" fmla="*/ 0 h 163"/>
                  <a:gd name="T14" fmla="*/ 0 w 179"/>
                  <a:gd name="T15" fmla="*/ 0 h 163"/>
                  <a:gd name="T16" fmla="*/ 0 w 179"/>
                  <a:gd name="T17" fmla="*/ 0 h 16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9"/>
                  <a:gd name="T28" fmla="*/ 0 h 163"/>
                  <a:gd name="T29" fmla="*/ 179 w 179"/>
                  <a:gd name="T30" fmla="*/ 163 h 16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9" h="163">
                    <a:moveTo>
                      <a:pt x="0" y="21"/>
                    </a:moveTo>
                    <a:lnTo>
                      <a:pt x="23" y="0"/>
                    </a:lnTo>
                    <a:lnTo>
                      <a:pt x="157" y="0"/>
                    </a:lnTo>
                    <a:lnTo>
                      <a:pt x="179" y="21"/>
                    </a:lnTo>
                    <a:lnTo>
                      <a:pt x="179" y="142"/>
                    </a:lnTo>
                    <a:lnTo>
                      <a:pt x="157" y="163"/>
                    </a:lnTo>
                    <a:lnTo>
                      <a:pt x="23" y="163"/>
                    </a:lnTo>
                    <a:lnTo>
                      <a:pt x="0" y="142"/>
                    </a:lnTo>
                    <a:lnTo>
                      <a:pt x="0" y="21"/>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sp macro="" textlink="">
            <xdr:nvSpPr>
              <xdr:cNvPr id="190" name="Freeform 906">
                <a:extLst>
                  <a:ext uri="{FF2B5EF4-FFF2-40B4-BE49-F238E27FC236}">
                    <a16:creationId xmlns:a16="http://schemas.microsoft.com/office/drawing/2014/main" id="{00000000-0008-0000-0000-0000BE000000}"/>
                  </a:ext>
                </a:extLst>
              </xdr:cNvPr>
              <xdr:cNvSpPr>
                <a:spLocks/>
              </xdr:cNvSpPr>
            </xdr:nvSpPr>
            <xdr:spPr bwMode="auto">
              <a:xfrm>
                <a:off x="324" y="906"/>
                <a:ext cx="36" cy="1"/>
              </a:xfrm>
              <a:custGeom>
                <a:avLst/>
                <a:gdLst>
                  <a:gd name="T0" fmla="*/ 0 w 179"/>
                  <a:gd name="T1" fmla="*/ 0 h 1"/>
                  <a:gd name="T2" fmla="*/ 0 w 179"/>
                  <a:gd name="T3" fmla="*/ 0 h 1"/>
                  <a:gd name="T4" fmla="*/ 0 w 179"/>
                  <a:gd name="T5" fmla="*/ 0 h 1"/>
                  <a:gd name="T6" fmla="*/ 0 60000 65536"/>
                  <a:gd name="T7" fmla="*/ 0 60000 65536"/>
                  <a:gd name="T8" fmla="*/ 0 60000 65536"/>
                  <a:gd name="T9" fmla="*/ 0 w 179"/>
                  <a:gd name="T10" fmla="*/ 0 h 1"/>
                  <a:gd name="T11" fmla="*/ 179 w 179"/>
                  <a:gd name="T12" fmla="*/ 1 h 1"/>
                </a:gdLst>
                <a:ahLst/>
                <a:cxnLst>
                  <a:cxn ang="T6">
                    <a:pos x="T0" y="T1"/>
                  </a:cxn>
                  <a:cxn ang="T7">
                    <a:pos x="T2" y="T3"/>
                  </a:cxn>
                  <a:cxn ang="T8">
                    <a:pos x="T4" y="T5"/>
                  </a:cxn>
                </a:cxnLst>
                <a:rect l="T9" t="T10" r="T11" b="T12"/>
                <a:pathLst>
                  <a:path w="179" h="1">
                    <a:moveTo>
                      <a:pt x="0" y="0"/>
                    </a:moveTo>
                    <a:lnTo>
                      <a:pt x="179" y="0"/>
                    </a:lnTo>
                    <a:lnTo>
                      <a:pt x="0" y="0"/>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sp macro="" textlink="">
            <xdr:nvSpPr>
              <xdr:cNvPr id="191" name="Freeform 907">
                <a:extLst>
                  <a:ext uri="{FF2B5EF4-FFF2-40B4-BE49-F238E27FC236}">
                    <a16:creationId xmlns:a16="http://schemas.microsoft.com/office/drawing/2014/main" id="{00000000-0008-0000-0000-0000BF000000}"/>
                  </a:ext>
                </a:extLst>
              </xdr:cNvPr>
              <xdr:cNvSpPr>
                <a:spLocks/>
              </xdr:cNvSpPr>
            </xdr:nvSpPr>
            <xdr:spPr bwMode="auto">
              <a:xfrm>
                <a:off x="324" y="931"/>
                <a:ext cx="36" cy="1"/>
              </a:xfrm>
              <a:custGeom>
                <a:avLst/>
                <a:gdLst>
                  <a:gd name="T0" fmla="*/ 0 w 179"/>
                  <a:gd name="T1" fmla="*/ 0 h 1"/>
                  <a:gd name="T2" fmla="*/ 0 w 179"/>
                  <a:gd name="T3" fmla="*/ 0 h 1"/>
                  <a:gd name="T4" fmla="*/ 0 w 179"/>
                  <a:gd name="T5" fmla="*/ 0 h 1"/>
                  <a:gd name="T6" fmla="*/ 0 60000 65536"/>
                  <a:gd name="T7" fmla="*/ 0 60000 65536"/>
                  <a:gd name="T8" fmla="*/ 0 60000 65536"/>
                  <a:gd name="T9" fmla="*/ 0 w 179"/>
                  <a:gd name="T10" fmla="*/ 0 h 1"/>
                  <a:gd name="T11" fmla="*/ 179 w 179"/>
                  <a:gd name="T12" fmla="*/ 1 h 1"/>
                </a:gdLst>
                <a:ahLst/>
                <a:cxnLst>
                  <a:cxn ang="T6">
                    <a:pos x="T0" y="T1"/>
                  </a:cxn>
                  <a:cxn ang="T7">
                    <a:pos x="T2" y="T3"/>
                  </a:cxn>
                  <a:cxn ang="T8">
                    <a:pos x="T4" y="T5"/>
                  </a:cxn>
                </a:cxnLst>
                <a:rect l="T9" t="T10" r="T11" b="T12"/>
                <a:pathLst>
                  <a:path w="179" h="1">
                    <a:moveTo>
                      <a:pt x="0" y="0"/>
                    </a:moveTo>
                    <a:lnTo>
                      <a:pt x="179" y="0"/>
                    </a:lnTo>
                    <a:lnTo>
                      <a:pt x="0" y="0"/>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grpSp>
        <xdr:grpSp>
          <xdr:nvGrpSpPr>
            <xdr:cNvPr id="156" name="Group 2472">
              <a:extLst>
                <a:ext uri="{FF2B5EF4-FFF2-40B4-BE49-F238E27FC236}">
                  <a16:creationId xmlns:a16="http://schemas.microsoft.com/office/drawing/2014/main" id="{00000000-0008-0000-0000-00009C000000}"/>
                </a:ext>
              </a:extLst>
            </xdr:cNvPr>
            <xdr:cNvGrpSpPr>
              <a:grpSpLocks/>
            </xdr:cNvGrpSpPr>
          </xdr:nvGrpSpPr>
          <xdr:grpSpPr bwMode="auto">
            <a:xfrm>
              <a:off x="388" y="1564"/>
              <a:ext cx="20" cy="20"/>
              <a:chOff x="1604" y="1558"/>
              <a:chExt cx="106" cy="239"/>
            </a:xfrm>
          </xdr:grpSpPr>
          <xdr:sp macro="" textlink="">
            <xdr:nvSpPr>
              <xdr:cNvPr id="157" name="Oval 2473">
                <a:extLst>
                  <a:ext uri="{FF2B5EF4-FFF2-40B4-BE49-F238E27FC236}">
                    <a16:creationId xmlns:a16="http://schemas.microsoft.com/office/drawing/2014/main" id="{00000000-0008-0000-0000-00009D000000}"/>
                  </a:ext>
                </a:extLst>
              </xdr:cNvPr>
              <xdr:cNvSpPr>
                <a:spLocks noChangeArrowheads="1"/>
              </xdr:cNvSpPr>
            </xdr:nvSpPr>
            <xdr:spPr bwMode="auto">
              <a:xfrm>
                <a:off x="1604" y="1579"/>
                <a:ext cx="104" cy="96"/>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58" name="Oval 2474">
                <a:extLst>
                  <a:ext uri="{FF2B5EF4-FFF2-40B4-BE49-F238E27FC236}">
                    <a16:creationId xmlns:a16="http://schemas.microsoft.com/office/drawing/2014/main" id="{00000000-0008-0000-0000-00009E000000}"/>
                  </a:ext>
                </a:extLst>
              </xdr:cNvPr>
              <xdr:cNvSpPr>
                <a:spLocks noChangeArrowheads="1"/>
              </xdr:cNvSpPr>
            </xdr:nvSpPr>
            <xdr:spPr bwMode="auto">
              <a:xfrm>
                <a:off x="1606" y="1684"/>
                <a:ext cx="104" cy="96"/>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59" name="AutoShape 2475">
                <a:extLst>
                  <a:ext uri="{FF2B5EF4-FFF2-40B4-BE49-F238E27FC236}">
                    <a16:creationId xmlns:a16="http://schemas.microsoft.com/office/drawing/2014/main" id="{00000000-0008-0000-0000-00009F000000}"/>
                  </a:ext>
                </a:extLst>
              </xdr:cNvPr>
              <xdr:cNvSpPr>
                <a:spLocks noChangeArrowheads="1"/>
              </xdr:cNvSpPr>
            </xdr:nvSpPr>
            <xdr:spPr bwMode="auto">
              <a:xfrm>
                <a:off x="1646" y="1558"/>
                <a:ext cx="24" cy="239"/>
              </a:xfrm>
              <a:prstGeom prst="roundRect">
                <a:avLst>
                  <a:gd name="adj" fmla="val 16667"/>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grpSp>
            <xdr:nvGrpSpPr>
              <xdr:cNvPr id="160" name="Group 2476">
                <a:extLst>
                  <a:ext uri="{FF2B5EF4-FFF2-40B4-BE49-F238E27FC236}">
                    <a16:creationId xmlns:a16="http://schemas.microsoft.com/office/drawing/2014/main" id="{00000000-0008-0000-0000-0000A0000000}"/>
                  </a:ext>
                </a:extLst>
              </xdr:cNvPr>
              <xdr:cNvGrpSpPr>
                <a:grpSpLocks/>
              </xdr:cNvGrpSpPr>
            </xdr:nvGrpSpPr>
            <xdr:grpSpPr bwMode="auto">
              <a:xfrm>
                <a:off x="1611" y="1596"/>
                <a:ext cx="32" cy="57"/>
                <a:chOff x="1611" y="1596"/>
                <a:chExt cx="32" cy="57"/>
              </a:xfrm>
            </xdr:grpSpPr>
            <xdr:sp macro="" textlink="">
              <xdr:nvSpPr>
                <xdr:cNvPr id="185" name="Oval 2477">
                  <a:extLst>
                    <a:ext uri="{FF2B5EF4-FFF2-40B4-BE49-F238E27FC236}">
                      <a16:creationId xmlns:a16="http://schemas.microsoft.com/office/drawing/2014/main" id="{00000000-0008-0000-0000-0000B9000000}"/>
                    </a:ext>
                  </a:extLst>
                </xdr:cNvPr>
                <xdr:cNvSpPr>
                  <a:spLocks noChangeArrowheads="1"/>
                </xdr:cNvSpPr>
              </xdr:nvSpPr>
              <xdr:spPr bwMode="auto">
                <a:xfrm>
                  <a:off x="1627" y="1596"/>
                  <a:ext cx="15" cy="12"/>
                </a:xfrm>
                <a:prstGeom prst="ellipse">
                  <a:avLst/>
                </a:prstGeom>
                <a:solidFill>
                  <a:srgbClr val="FFFFFF"/>
                </a:solidFill>
                <a:ln w="9525">
                  <a:solidFill>
                    <a:srgbClr val="000000"/>
                  </a:solidFill>
                  <a:round/>
                  <a:headEnd/>
                  <a:tailEnd/>
                </a:ln>
              </xdr:spPr>
            </xdr:sp>
            <xdr:sp macro="" textlink="">
              <xdr:nvSpPr>
                <xdr:cNvPr id="186" name="Oval 2478">
                  <a:extLst>
                    <a:ext uri="{FF2B5EF4-FFF2-40B4-BE49-F238E27FC236}">
                      <a16:creationId xmlns:a16="http://schemas.microsoft.com/office/drawing/2014/main" id="{00000000-0008-0000-0000-0000BA000000}"/>
                    </a:ext>
                  </a:extLst>
                </xdr:cNvPr>
                <xdr:cNvSpPr>
                  <a:spLocks noChangeArrowheads="1"/>
                </xdr:cNvSpPr>
              </xdr:nvSpPr>
              <xdr:spPr bwMode="auto">
                <a:xfrm>
                  <a:off x="1611" y="1620"/>
                  <a:ext cx="15" cy="12"/>
                </a:xfrm>
                <a:prstGeom prst="ellipse">
                  <a:avLst/>
                </a:prstGeom>
                <a:solidFill>
                  <a:srgbClr val="FFFFFF"/>
                </a:solidFill>
                <a:ln w="9525">
                  <a:solidFill>
                    <a:srgbClr val="000000"/>
                  </a:solidFill>
                  <a:round/>
                  <a:headEnd/>
                  <a:tailEnd/>
                </a:ln>
              </xdr:spPr>
            </xdr:sp>
            <xdr:sp macro="" textlink="">
              <xdr:nvSpPr>
                <xdr:cNvPr id="187" name="Oval 2479">
                  <a:extLst>
                    <a:ext uri="{FF2B5EF4-FFF2-40B4-BE49-F238E27FC236}">
                      <a16:creationId xmlns:a16="http://schemas.microsoft.com/office/drawing/2014/main" id="{00000000-0008-0000-0000-0000BB000000}"/>
                    </a:ext>
                  </a:extLst>
                </xdr:cNvPr>
                <xdr:cNvSpPr>
                  <a:spLocks noChangeArrowheads="1"/>
                </xdr:cNvSpPr>
              </xdr:nvSpPr>
              <xdr:spPr bwMode="auto">
                <a:xfrm>
                  <a:off x="1628" y="1620"/>
                  <a:ext cx="15" cy="12"/>
                </a:xfrm>
                <a:prstGeom prst="ellipse">
                  <a:avLst/>
                </a:prstGeom>
                <a:solidFill>
                  <a:srgbClr val="FFFFFF"/>
                </a:solidFill>
                <a:ln w="9525">
                  <a:solidFill>
                    <a:srgbClr val="000000"/>
                  </a:solidFill>
                  <a:round/>
                  <a:headEnd/>
                  <a:tailEnd/>
                </a:ln>
              </xdr:spPr>
            </xdr:sp>
            <xdr:sp macro="" textlink="">
              <xdr:nvSpPr>
                <xdr:cNvPr id="188" name="Oval 2480">
                  <a:extLst>
                    <a:ext uri="{FF2B5EF4-FFF2-40B4-BE49-F238E27FC236}">
                      <a16:creationId xmlns:a16="http://schemas.microsoft.com/office/drawing/2014/main" id="{00000000-0008-0000-0000-0000BC000000}"/>
                    </a:ext>
                  </a:extLst>
                </xdr:cNvPr>
                <xdr:cNvSpPr>
                  <a:spLocks noChangeArrowheads="1"/>
                </xdr:cNvSpPr>
              </xdr:nvSpPr>
              <xdr:spPr bwMode="auto">
                <a:xfrm>
                  <a:off x="1628" y="1641"/>
                  <a:ext cx="15" cy="12"/>
                </a:xfrm>
                <a:prstGeom prst="ellipse">
                  <a:avLst/>
                </a:prstGeom>
                <a:solidFill>
                  <a:srgbClr val="FFFFFF"/>
                </a:solidFill>
                <a:ln w="9525">
                  <a:solidFill>
                    <a:srgbClr val="000000"/>
                  </a:solidFill>
                  <a:round/>
                  <a:headEnd/>
                  <a:tailEnd/>
                </a:ln>
              </xdr:spPr>
            </xdr:sp>
          </xdr:grpSp>
          <xdr:grpSp>
            <xdr:nvGrpSpPr>
              <xdr:cNvPr id="161" name="Group 2481">
                <a:extLst>
                  <a:ext uri="{FF2B5EF4-FFF2-40B4-BE49-F238E27FC236}">
                    <a16:creationId xmlns:a16="http://schemas.microsoft.com/office/drawing/2014/main" id="{00000000-0008-0000-0000-0000A1000000}"/>
                  </a:ext>
                </a:extLst>
              </xdr:cNvPr>
              <xdr:cNvGrpSpPr>
                <a:grpSpLocks/>
              </xdr:cNvGrpSpPr>
            </xdr:nvGrpSpPr>
            <xdr:grpSpPr bwMode="auto">
              <a:xfrm>
                <a:off x="1611" y="1703"/>
                <a:ext cx="32" cy="57"/>
                <a:chOff x="1611" y="1596"/>
                <a:chExt cx="32" cy="57"/>
              </a:xfrm>
            </xdr:grpSpPr>
            <xdr:sp macro="" textlink="">
              <xdr:nvSpPr>
                <xdr:cNvPr id="181" name="Oval 2482">
                  <a:extLst>
                    <a:ext uri="{FF2B5EF4-FFF2-40B4-BE49-F238E27FC236}">
                      <a16:creationId xmlns:a16="http://schemas.microsoft.com/office/drawing/2014/main" id="{00000000-0008-0000-0000-0000B5000000}"/>
                    </a:ext>
                  </a:extLst>
                </xdr:cNvPr>
                <xdr:cNvSpPr>
                  <a:spLocks noChangeArrowheads="1"/>
                </xdr:cNvSpPr>
              </xdr:nvSpPr>
              <xdr:spPr bwMode="auto">
                <a:xfrm>
                  <a:off x="1627" y="1596"/>
                  <a:ext cx="15" cy="12"/>
                </a:xfrm>
                <a:prstGeom prst="ellipse">
                  <a:avLst/>
                </a:prstGeom>
                <a:solidFill>
                  <a:srgbClr val="FFFFFF"/>
                </a:solidFill>
                <a:ln w="9525">
                  <a:solidFill>
                    <a:srgbClr val="000000"/>
                  </a:solidFill>
                  <a:round/>
                  <a:headEnd/>
                  <a:tailEnd/>
                </a:ln>
              </xdr:spPr>
            </xdr:sp>
            <xdr:sp macro="" textlink="">
              <xdr:nvSpPr>
                <xdr:cNvPr id="182" name="Oval 2483">
                  <a:extLst>
                    <a:ext uri="{FF2B5EF4-FFF2-40B4-BE49-F238E27FC236}">
                      <a16:creationId xmlns:a16="http://schemas.microsoft.com/office/drawing/2014/main" id="{00000000-0008-0000-0000-0000B6000000}"/>
                    </a:ext>
                  </a:extLst>
                </xdr:cNvPr>
                <xdr:cNvSpPr>
                  <a:spLocks noChangeArrowheads="1"/>
                </xdr:cNvSpPr>
              </xdr:nvSpPr>
              <xdr:spPr bwMode="auto">
                <a:xfrm>
                  <a:off x="1611" y="1620"/>
                  <a:ext cx="15" cy="12"/>
                </a:xfrm>
                <a:prstGeom prst="ellipse">
                  <a:avLst/>
                </a:prstGeom>
                <a:solidFill>
                  <a:srgbClr val="FFFFFF"/>
                </a:solidFill>
                <a:ln w="9525">
                  <a:solidFill>
                    <a:srgbClr val="000000"/>
                  </a:solidFill>
                  <a:round/>
                  <a:headEnd/>
                  <a:tailEnd/>
                </a:ln>
              </xdr:spPr>
            </xdr:sp>
            <xdr:sp macro="" textlink="">
              <xdr:nvSpPr>
                <xdr:cNvPr id="183" name="Oval 2484">
                  <a:extLst>
                    <a:ext uri="{FF2B5EF4-FFF2-40B4-BE49-F238E27FC236}">
                      <a16:creationId xmlns:a16="http://schemas.microsoft.com/office/drawing/2014/main" id="{00000000-0008-0000-0000-0000B7000000}"/>
                    </a:ext>
                  </a:extLst>
                </xdr:cNvPr>
                <xdr:cNvSpPr>
                  <a:spLocks noChangeArrowheads="1"/>
                </xdr:cNvSpPr>
              </xdr:nvSpPr>
              <xdr:spPr bwMode="auto">
                <a:xfrm>
                  <a:off x="1628" y="1620"/>
                  <a:ext cx="15" cy="12"/>
                </a:xfrm>
                <a:prstGeom prst="ellipse">
                  <a:avLst/>
                </a:prstGeom>
                <a:solidFill>
                  <a:srgbClr val="FFFFFF"/>
                </a:solidFill>
                <a:ln w="9525">
                  <a:solidFill>
                    <a:srgbClr val="000000"/>
                  </a:solidFill>
                  <a:round/>
                  <a:headEnd/>
                  <a:tailEnd/>
                </a:ln>
              </xdr:spPr>
            </xdr:sp>
            <xdr:sp macro="" textlink="">
              <xdr:nvSpPr>
                <xdr:cNvPr id="184" name="Oval 2485">
                  <a:extLst>
                    <a:ext uri="{FF2B5EF4-FFF2-40B4-BE49-F238E27FC236}">
                      <a16:creationId xmlns:a16="http://schemas.microsoft.com/office/drawing/2014/main" id="{00000000-0008-0000-0000-0000B8000000}"/>
                    </a:ext>
                  </a:extLst>
                </xdr:cNvPr>
                <xdr:cNvSpPr>
                  <a:spLocks noChangeArrowheads="1"/>
                </xdr:cNvSpPr>
              </xdr:nvSpPr>
              <xdr:spPr bwMode="auto">
                <a:xfrm>
                  <a:off x="1628" y="1641"/>
                  <a:ext cx="15" cy="12"/>
                </a:xfrm>
                <a:prstGeom prst="ellipse">
                  <a:avLst/>
                </a:prstGeom>
                <a:solidFill>
                  <a:srgbClr val="FFFFFF"/>
                </a:solidFill>
                <a:ln w="9525">
                  <a:solidFill>
                    <a:srgbClr val="000000"/>
                  </a:solidFill>
                  <a:round/>
                  <a:headEnd/>
                  <a:tailEnd/>
                </a:ln>
              </xdr:spPr>
            </xdr:sp>
          </xdr:grpSp>
          <xdr:grpSp>
            <xdr:nvGrpSpPr>
              <xdr:cNvPr id="162" name="Group 2486">
                <a:extLst>
                  <a:ext uri="{FF2B5EF4-FFF2-40B4-BE49-F238E27FC236}">
                    <a16:creationId xmlns:a16="http://schemas.microsoft.com/office/drawing/2014/main" id="{00000000-0008-0000-0000-0000A2000000}"/>
                  </a:ext>
                </a:extLst>
              </xdr:cNvPr>
              <xdr:cNvGrpSpPr>
                <a:grpSpLocks/>
              </xdr:cNvGrpSpPr>
            </xdr:nvGrpSpPr>
            <xdr:grpSpPr bwMode="auto">
              <a:xfrm flipH="1">
                <a:off x="1672" y="1596"/>
                <a:ext cx="32" cy="57"/>
                <a:chOff x="1611" y="1596"/>
                <a:chExt cx="32" cy="57"/>
              </a:xfrm>
            </xdr:grpSpPr>
            <xdr:sp macro="" textlink="">
              <xdr:nvSpPr>
                <xdr:cNvPr id="177" name="Oval 2487">
                  <a:extLst>
                    <a:ext uri="{FF2B5EF4-FFF2-40B4-BE49-F238E27FC236}">
                      <a16:creationId xmlns:a16="http://schemas.microsoft.com/office/drawing/2014/main" id="{00000000-0008-0000-0000-0000B1000000}"/>
                    </a:ext>
                  </a:extLst>
                </xdr:cNvPr>
                <xdr:cNvSpPr>
                  <a:spLocks noChangeArrowheads="1"/>
                </xdr:cNvSpPr>
              </xdr:nvSpPr>
              <xdr:spPr bwMode="auto">
                <a:xfrm>
                  <a:off x="1627" y="1596"/>
                  <a:ext cx="15" cy="12"/>
                </a:xfrm>
                <a:prstGeom prst="ellipse">
                  <a:avLst/>
                </a:prstGeom>
                <a:solidFill>
                  <a:srgbClr val="FFFFFF"/>
                </a:solidFill>
                <a:ln w="9525">
                  <a:solidFill>
                    <a:srgbClr val="000000"/>
                  </a:solidFill>
                  <a:round/>
                  <a:headEnd/>
                  <a:tailEnd/>
                </a:ln>
              </xdr:spPr>
            </xdr:sp>
            <xdr:sp macro="" textlink="">
              <xdr:nvSpPr>
                <xdr:cNvPr id="178" name="Oval 2488">
                  <a:extLst>
                    <a:ext uri="{FF2B5EF4-FFF2-40B4-BE49-F238E27FC236}">
                      <a16:creationId xmlns:a16="http://schemas.microsoft.com/office/drawing/2014/main" id="{00000000-0008-0000-0000-0000B2000000}"/>
                    </a:ext>
                  </a:extLst>
                </xdr:cNvPr>
                <xdr:cNvSpPr>
                  <a:spLocks noChangeArrowheads="1"/>
                </xdr:cNvSpPr>
              </xdr:nvSpPr>
              <xdr:spPr bwMode="auto">
                <a:xfrm>
                  <a:off x="1611" y="1620"/>
                  <a:ext cx="15" cy="12"/>
                </a:xfrm>
                <a:prstGeom prst="ellipse">
                  <a:avLst/>
                </a:prstGeom>
                <a:solidFill>
                  <a:srgbClr val="FFFFFF"/>
                </a:solidFill>
                <a:ln w="9525">
                  <a:solidFill>
                    <a:srgbClr val="000000"/>
                  </a:solidFill>
                  <a:round/>
                  <a:headEnd/>
                  <a:tailEnd/>
                </a:ln>
              </xdr:spPr>
            </xdr:sp>
            <xdr:sp macro="" textlink="">
              <xdr:nvSpPr>
                <xdr:cNvPr id="179" name="Oval 2489">
                  <a:extLst>
                    <a:ext uri="{FF2B5EF4-FFF2-40B4-BE49-F238E27FC236}">
                      <a16:creationId xmlns:a16="http://schemas.microsoft.com/office/drawing/2014/main" id="{00000000-0008-0000-0000-0000B3000000}"/>
                    </a:ext>
                  </a:extLst>
                </xdr:cNvPr>
                <xdr:cNvSpPr>
                  <a:spLocks noChangeArrowheads="1"/>
                </xdr:cNvSpPr>
              </xdr:nvSpPr>
              <xdr:spPr bwMode="auto">
                <a:xfrm>
                  <a:off x="1628" y="1620"/>
                  <a:ext cx="15" cy="12"/>
                </a:xfrm>
                <a:prstGeom prst="ellipse">
                  <a:avLst/>
                </a:prstGeom>
                <a:solidFill>
                  <a:srgbClr val="FFFFFF"/>
                </a:solidFill>
                <a:ln w="9525">
                  <a:solidFill>
                    <a:srgbClr val="000000"/>
                  </a:solidFill>
                  <a:round/>
                  <a:headEnd/>
                  <a:tailEnd/>
                </a:ln>
              </xdr:spPr>
            </xdr:sp>
            <xdr:sp macro="" textlink="">
              <xdr:nvSpPr>
                <xdr:cNvPr id="180" name="Oval 2490">
                  <a:extLst>
                    <a:ext uri="{FF2B5EF4-FFF2-40B4-BE49-F238E27FC236}">
                      <a16:creationId xmlns:a16="http://schemas.microsoft.com/office/drawing/2014/main" id="{00000000-0008-0000-0000-0000B4000000}"/>
                    </a:ext>
                  </a:extLst>
                </xdr:cNvPr>
                <xdr:cNvSpPr>
                  <a:spLocks noChangeArrowheads="1"/>
                </xdr:cNvSpPr>
              </xdr:nvSpPr>
              <xdr:spPr bwMode="auto">
                <a:xfrm>
                  <a:off x="1628" y="1641"/>
                  <a:ext cx="15" cy="12"/>
                </a:xfrm>
                <a:prstGeom prst="ellipse">
                  <a:avLst/>
                </a:prstGeom>
                <a:solidFill>
                  <a:srgbClr val="FFFFFF"/>
                </a:solidFill>
                <a:ln w="9525">
                  <a:solidFill>
                    <a:srgbClr val="000000"/>
                  </a:solidFill>
                  <a:round/>
                  <a:headEnd/>
                  <a:tailEnd/>
                </a:ln>
              </xdr:spPr>
            </xdr:sp>
          </xdr:grpSp>
          <xdr:grpSp>
            <xdr:nvGrpSpPr>
              <xdr:cNvPr id="163" name="Group 2491">
                <a:extLst>
                  <a:ext uri="{FF2B5EF4-FFF2-40B4-BE49-F238E27FC236}">
                    <a16:creationId xmlns:a16="http://schemas.microsoft.com/office/drawing/2014/main" id="{00000000-0008-0000-0000-0000A3000000}"/>
                  </a:ext>
                </a:extLst>
              </xdr:cNvPr>
              <xdr:cNvGrpSpPr>
                <a:grpSpLocks/>
              </xdr:cNvGrpSpPr>
            </xdr:nvGrpSpPr>
            <xdr:grpSpPr bwMode="auto">
              <a:xfrm flipH="1">
                <a:off x="1672" y="1697"/>
                <a:ext cx="32" cy="57"/>
                <a:chOff x="1611" y="1596"/>
                <a:chExt cx="32" cy="57"/>
              </a:xfrm>
            </xdr:grpSpPr>
            <xdr:sp macro="" textlink="">
              <xdr:nvSpPr>
                <xdr:cNvPr id="173" name="Oval 2492">
                  <a:extLst>
                    <a:ext uri="{FF2B5EF4-FFF2-40B4-BE49-F238E27FC236}">
                      <a16:creationId xmlns:a16="http://schemas.microsoft.com/office/drawing/2014/main" id="{00000000-0008-0000-0000-0000AD000000}"/>
                    </a:ext>
                  </a:extLst>
                </xdr:cNvPr>
                <xdr:cNvSpPr>
                  <a:spLocks noChangeArrowheads="1"/>
                </xdr:cNvSpPr>
              </xdr:nvSpPr>
              <xdr:spPr bwMode="auto">
                <a:xfrm>
                  <a:off x="1627" y="1596"/>
                  <a:ext cx="15" cy="12"/>
                </a:xfrm>
                <a:prstGeom prst="ellipse">
                  <a:avLst/>
                </a:prstGeom>
                <a:solidFill>
                  <a:srgbClr val="FFFFFF"/>
                </a:solidFill>
                <a:ln w="9525">
                  <a:solidFill>
                    <a:srgbClr val="000000"/>
                  </a:solidFill>
                  <a:round/>
                  <a:headEnd/>
                  <a:tailEnd/>
                </a:ln>
              </xdr:spPr>
            </xdr:sp>
            <xdr:sp macro="" textlink="">
              <xdr:nvSpPr>
                <xdr:cNvPr id="174" name="Oval 2493">
                  <a:extLst>
                    <a:ext uri="{FF2B5EF4-FFF2-40B4-BE49-F238E27FC236}">
                      <a16:creationId xmlns:a16="http://schemas.microsoft.com/office/drawing/2014/main" id="{00000000-0008-0000-0000-0000AE000000}"/>
                    </a:ext>
                  </a:extLst>
                </xdr:cNvPr>
                <xdr:cNvSpPr>
                  <a:spLocks noChangeArrowheads="1"/>
                </xdr:cNvSpPr>
              </xdr:nvSpPr>
              <xdr:spPr bwMode="auto">
                <a:xfrm>
                  <a:off x="1611" y="1620"/>
                  <a:ext cx="15" cy="12"/>
                </a:xfrm>
                <a:prstGeom prst="ellipse">
                  <a:avLst/>
                </a:prstGeom>
                <a:solidFill>
                  <a:srgbClr val="FFFFFF"/>
                </a:solidFill>
                <a:ln w="9525">
                  <a:solidFill>
                    <a:srgbClr val="000000"/>
                  </a:solidFill>
                  <a:round/>
                  <a:headEnd/>
                  <a:tailEnd/>
                </a:ln>
              </xdr:spPr>
            </xdr:sp>
            <xdr:sp macro="" textlink="">
              <xdr:nvSpPr>
                <xdr:cNvPr id="175" name="Oval 2494">
                  <a:extLst>
                    <a:ext uri="{FF2B5EF4-FFF2-40B4-BE49-F238E27FC236}">
                      <a16:creationId xmlns:a16="http://schemas.microsoft.com/office/drawing/2014/main" id="{00000000-0008-0000-0000-0000AF000000}"/>
                    </a:ext>
                  </a:extLst>
                </xdr:cNvPr>
                <xdr:cNvSpPr>
                  <a:spLocks noChangeArrowheads="1"/>
                </xdr:cNvSpPr>
              </xdr:nvSpPr>
              <xdr:spPr bwMode="auto">
                <a:xfrm>
                  <a:off x="1628" y="1620"/>
                  <a:ext cx="15" cy="12"/>
                </a:xfrm>
                <a:prstGeom prst="ellipse">
                  <a:avLst/>
                </a:prstGeom>
                <a:solidFill>
                  <a:srgbClr val="FFFFFF"/>
                </a:solidFill>
                <a:ln w="9525">
                  <a:solidFill>
                    <a:srgbClr val="000000"/>
                  </a:solidFill>
                  <a:round/>
                  <a:headEnd/>
                  <a:tailEnd/>
                </a:ln>
              </xdr:spPr>
            </xdr:sp>
            <xdr:sp macro="" textlink="">
              <xdr:nvSpPr>
                <xdr:cNvPr id="176" name="Oval 2495">
                  <a:extLst>
                    <a:ext uri="{FF2B5EF4-FFF2-40B4-BE49-F238E27FC236}">
                      <a16:creationId xmlns:a16="http://schemas.microsoft.com/office/drawing/2014/main" id="{00000000-0008-0000-0000-0000B0000000}"/>
                    </a:ext>
                  </a:extLst>
                </xdr:cNvPr>
                <xdr:cNvSpPr>
                  <a:spLocks noChangeArrowheads="1"/>
                </xdr:cNvSpPr>
              </xdr:nvSpPr>
              <xdr:spPr bwMode="auto">
                <a:xfrm>
                  <a:off x="1628" y="1641"/>
                  <a:ext cx="15" cy="12"/>
                </a:xfrm>
                <a:prstGeom prst="ellipse">
                  <a:avLst/>
                </a:prstGeom>
                <a:solidFill>
                  <a:srgbClr val="FFFFFF"/>
                </a:solidFill>
                <a:ln w="9525">
                  <a:solidFill>
                    <a:srgbClr val="000000"/>
                  </a:solidFill>
                  <a:round/>
                  <a:headEnd/>
                  <a:tailEnd/>
                </a:ln>
              </xdr:spPr>
            </xdr:sp>
          </xdr:grpSp>
          <xdr:grpSp>
            <xdr:nvGrpSpPr>
              <xdr:cNvPr id="164" name="Group 2496">
                <a:extLst>
                  <a:ext uri="{FF2B5EF4-FFF2-40B4-BE49-F238E27FC236}">
                    <a16:creationId xmlns:a16="http://schemas.microsoft.com/office/drawing/2014/main" id="{00000000-0008-0000-0000-0000A4000000}"/>
                  </a:ext>
                </a:extLst>
              </xdr:cNvPr>
              <xdr:cNvGrpSpPr>
                <a:grpSpLocks/>
              </xdr:cNvGrpSpPr>
            </xdr:nvGrpSpPr>
            <xdr:grpSpPr bwMode="auto">
              <a:xfrm>
                <a:off x="1650" y="1776"/>
                <a:ext cx="16" cy="16"/>
                <a:chOff x="1674" y="1881"/>
                <a:chExt cx="134" cy="130"/>
              </a:xfrm>
            </xdr:grpSpPr>
            <xdr:sp macro="" textlink="">
              <xdr:nvSpPr>
                <xdr:cNvPr id="171" name="Oval 2497">
                  <a:extLst>
                    <a:ext uri="{FF2B5EF4-FFF2-40B4-BE49-F238E27FC236}">
                      <a16:creationId xmlns:a16="http://schemas.microsoft.com/office/drawing/2014/main" id="{00000000-0008-0000-0000-0000AB000000}"/>
                    </a:ext>
                  </a:extLst>
                </xdr:cNvPr>
                <xdr:cNvSpPr>
                  <a:spLocks noChangeArrowheads="1"/>
                </xdr:cNvSpPr>
              </xdr:nvSpPr>
              <xdr:spPr bwMode="auto">
                <a:xfrm>
                  <a:off x="1674" y="1881"/>
                  <a:ext cx="134" cy="130"/>
                </a:xfrm>
                <a:prstGeom prst="ellipse">
                  <a:avLst/>
                </a:prstGeom>
                <a:gradFill rotWithShape="1">
                  <a:gsLst>
                    <a:gs pos="0">
                      <a:srgbClr val="760000"/>
                    </a:gs>
                    <a:gs pos="100000">
                      <a:srgbClr val="FF0000"/>
                    </a:gs>
                  </a:gsLst>
                  <a:lin ang="0" scaled="1"/>
                </a:gradFill>
                <a:ln w="9525">
                  <a:solidFill>
                    <a:srgbClr val="000000"/>
                  </a:solidFill>
                  <a:round/>
                  <a:headEnd/>
                  <a:tailEnd/>
                </a:ln>
              </xdr:spPr>
            </xdr:sp>
            <xdr:sp macro="" textlink="">
              <xdr:nvSpPr>
                <xdr:cNvPr id="172" name="Rectangle 2498">
                  <a:extLst>
                    <a:ext uri="{FF2B5EF4-FFF2-40B4-BE49-F238E27FC236}">
                      <a16:creationId xmlns:a16="http://schemas.microsoft.com/office/drawing/2014/main" id="{00000000-0008-0000-0000-0000AC000000}"/>
                    </a:ext>
                  </a:extLst>
                </xdr:cNvPr>
                <xdr:cNvSpPr>
                  <a:spLocks noChangeArrowheads="1"/>
                </xdr:cNvSpPr>
              </xdr:nvSpPr>
              <xdr:spPr bwMode="auto">
                <a:xfrm>
                  <a:off x="1674" y="1940"/>
                  <a:ext cx="132" cy="17"/>
                </a:xfrm>
                <a:prstGeom prst="rect">
                  <a:avLst/>
                </a:prstGeom>
                <a:solidFill>
                  <a:srgbClr val="FFFFFF"/>
                </a:solidFill>
                <a:ln w="9525">
                  <a:solidFill>
                    <a:srgbClr val="000000"/>
                  </a:solidFill>
                  <a:miter lim="800000"/>
                  <a:headEnd/>
                  <a:tailEnd/>
                </a:ln>
              </xdr:spPr>
            </xdr:sp>
          </xdr:grpSp>
          <xdr:grpSp>
            <xdr:nvGrpSpPr>
              <xdr:cNvPr id="165" name="Group 2499">
                <a:extLst>
                  <a:ext uri="{FF2B5EF4-FFF2-40B4-BE49-F238E27FC236}">
                    <a16:creationId xmlns:a16="http://schemas.microsoft.com/office/drawing/2014/main" id="{00000000-0008-0000-0000-0000A5000000}"/>
                  </a:ext>
                </a:extLst>
              </xdr:cNvPr>
              <xdr:cNvGrpSpPr>
                <a:grpSpLocks/>
              </xdr:cNvGrpSpPr>
            </xdr:nvGrpSpPr>
            <xdr:grpSpPr bwMode="auto">
              <a:xfrm>
                <a:off x="1650" y="1667"/>
                <a:ext cx="16" cy="16"/>
                <a:chOff x="1674" y="1881"/>
                <a:chExt cx="134" cy="130"/>
              </a:xfrm>
            </xdr:grpSpPr>
            <xdr:sp macro="" textlink="">
              <xdr:nvSpPr>
                <xdr:cNvPr id="169" name="Oval 2500">
                  <a:extLst>
                    <a:ext uri="{FF2B5EF4-FFF2-40B4-BE49-F238E27FC236}">
                      <a16:creationId xmlns:a16="http://schemas.microsoft.com/office/drawing/2014/main" id="{00000000-0008-0000-0000-0000A9000000}"/>
                    </a:ext>
                  </a:extLst>
                </xdr:cNvPr>
                <xdr:cNvSpPr>
                  <a:spLocks noChangeArrowheads="1"/>
                </xdr:cNvSpPr>
              </xdr:nvSpPr>
              <xdr:spPr bwMode="auto">
                <a:xfrm>
                  <a:off x="1674" y="1881"/>
                  <a:ext cx="134" cy="130"/>
                </a:xfrm>
                <a:prstGeom prst="ellipse">
                  <a:avLst/>
                </a:prstGeom>
                <a:gradFill rotWithShape="1">
                  <a:gsLst>
                    <a:gs pos="0">
                      <a:srgbClr val="760000"/>
                    </a:gs>
                    <a:gs pos="100000">
                      <a:srgbClr val="FF0000"/>
                    </a:gs>
                  </a:gsLst>
                  <a:lin ang="0" scaled="1"/>
                </a:gradFill>
                <a:ln w="9525">
                  <a:solidFill>
                    <a:srgbClr val="000000"/>
                  </a:solidFill>
                  <a:round/>
                  <a:headEnd/>
                  <a:tailEnd/>
                </a:ln>
              </xdr:spPr>
            </xdr:sp>
            <xdr:sp macro="" textlink="">
              <xdr:nvSpPr>
                <xdr:cNvPr id="170" name="Rectangle 2501">
                  <a:extLst>
                    <a:ext uri="{FF2B5EF4-FFF2-40B4-BE49-F238E27FC236}">
                      <a16:creationId xmlns:a16="http://schemas.microsoft.com/office/drawing/2014/main" id="{00000000-0008-0000-0000-0000AA000000}"/>
                    </a:ext>
                  </a:extLst>
                </xdr:cNvPr>
                <xdr:cNvSpPr>
                  <a:spLocks noChangeArrowheads="1"/>
                </xdr:cNvSpPr>
              </xdr:nvSpPr>
              <xdr:spPr bwMode="auto">
                <a:xfrm>
                  <a:off x="1674" y="1940"/>
                  <a:ext cx="132" cy="17"/>
                </a:xfrm>
                <a:prstGeom prst="rect">
                  <a:avLst/>
                </a:prstGeom>
                <a:solidFill>
                  <a:srgbClr val="FFFFFF"/>
                </a:solidFill>
                <a:ln w="9525">
                  <a:solidFill>
                    <a:srgbClr val="000000"/>
                  </a:solidFill>
                  <a:miter lim="800000"/>
                  <a:headEnd/>
                  <a:tailEnd/>
                </a:ln>
              </xdr:spPr>
            </xdr:sp>
          </xdr:grpSp>
          <xdr:grpSp>
            <xdr:nvGrpSpPr>
              <xdr:cNvPr id="166" name="Group 2502">
                <a:extLst>
                  <a:ext uri="{FF2B5EF4-FFF2-40B4-BE49-F238E27FC236}">
                    <a16:creationId xmlns:a16="http://schemas.microsoft.com/office/drawing/2014/main" id="{00000000-0008-0000-0000-0000A6000000}"/>
                  </a:ext>
                </a:extLst>
              </xdr:cNvPr>
              <xdr:cNvGrpSpPr>
                <a:grpSpLocks/>
              </xdr:cNvGrpSpPr>
            </xdr:nvGrpSpPr>
            <xdr:grpSpPr bwMode="auto">
              <a:xfrm>
                <a:off x="1650" y="1560"/>
                <a:ext cx="16" cy="16"/>
                <a:chOff x="1674" y="1881"/>
                <a:chExt cx="134" cy="130"/>
              </a:xfrm>
            </xdr:grpSpPr>
            <xdr:sp macro="" textlink="">
              <xdr:nvSpPr>
                <xdr:cNvPr id="167" name="Oval 2503">
                  <a:extLst>
                    <a:ext uri="{FF2B5EF4-FFF2-40B4-BE49-F238E27FC236}">
                      <a16:creationId xmlns:a16="http://schemas.microsoft.com/office/drawing/2014/main" id="{00000000-0008-0000-0000-0000A7000000}"/>
                    </a:ext>
                  </a:extLst>
                </xdr:cNvPr>
                <xdr:cNvSpPr>
                  <a:spLocks noChangeArrowheads="1"/>
                </xdr:cNvSpPr>
              </xdr:nvSpPr>
              <xdr:spPr bwMode="auto">
                <a:xfrm>
                  <a:off x="1674" y="1881"/>
                  <a:ext cx="134" cy="130"/>
                </a:xfrm>
                <a:prstGeom prst="ellipse">
                  <a:avLst/>
                </a:prstGeom>
                <a:gradFill rotWithShape="1">
                  <a:gsLst>
                    <a:gs pos="0">
                      <a:srgbClr val="760000"/>
                    </a:gs>
                    <a:gs pos="100000">
                      <a:srgbClr val="FF0000"/>
                    </a:gs>
                  </a:gsLst>
                  <a:lin ang="0" scaled="1"/>
                </a:gradFill>
                <a:ln w="9525">
                  <a:solidFill>
                    <a:srgbClr val="000000"/>
                  </a:solidFill>
                  <a:round/>
                  <a:headEnd/>
                  <a:tailEnd/>
                </a:ln>
              </xdr:spPr>
            </xdr:sp>
            <xdr:sp macro="" textlink="">
              <xdr:nvSpPr>
                <xdr:cNvPr id="168" name="Rectangle 2504">
                  <a:extLst>
                    <a:ext uri="{FF2B5EF4-FFF2-40B4-BE49-F238E27FC236}">
                      <a16:creationId xmlns:a16="http://schemas.microsoft.com/office/drawing/2014/main" id="{00000000-0008-0000-0000-0000A8000000}"/>
                    </a:ext>
                  </a:extLst>
                </xdr:cNvPr>
                <xdr:cNvSpPr>
                  <a:spLocks noChangeArrowheads="1"/>
                </xdr:cNvSpPr>
              </xdr:nvSpPr>
              <xdr:spPr bwMode="auto">
                <a:xfrm>
                  <a:off x="1674" y="1940"/>
                  <a:ext cx="132" cy="17"/>
                </a:xfrm>
                <a:prstGeom prst="rect">
                  <a:avLst/>
                </a:prstGeom>
                <a:solidFill>
                  <a:srgbClr val="FFFFFF"/>
                </a:solidFill>
                <a:ln w="9525">
                  <a:solidFill>
                    <a:srgbClr val="000000"/>
                  </a:solidFill>
                  <a:miter lim="800000"/>
                  <a:headEnd/>
                  <a:tailEnd/>
                </a:ln>
              </xdr:spPr>
            </xdr:sp>
          </xdr:grpSp>
        </xdr:grpSp>
      </xdr:grpSp>
      <xdr:grpSp>
        <xdr:nvGrpSpPr>
          <xdr:cNvPr id="124" name="Group 802">
            <a:extLst>
              <a:ext uri="{FF2B5EF4-FFF2-40B4-BE49-F238E27FC236}">
                <a16:creationId xmlns:a16="http://schemas.microsoft.com/office/drawing/2014/main" id="{00000000-0008-0000-0000-00007C000000}"/>
              </a:ext>
            </a:extLst>
          </xdr:cNvPr>
          <xdr:cNvGrpSpPr>
            <a:grpSpLocks/>
          </xdr:cNvGrpSpPr>
        </xdr:nvGrpSpPr>
        <xdr:grpSpPr bwMode="auto">
          <a:xfrm>
            <a:off x="97" y="1799"/>
            <a:ext cx="55" cy="76"/>
            <a:chOff x="4254500" y="15330970"/>
            <a:chExt cx="1346200" cy="2654473"/>
          </a:xfrm>
        </xdr:grpSpPr>
        <xdr:grpSp>
          <xdr:nvGrpSpPr>
            <xdr:cNvPr id="125" name="Group 904">
              <a:extLst>
                <a:ext uri="{FF2B5EF4-FFF2-40B4-BE49-F238E27FC236}">
                  <a16:creationId xmlns:a16="http://schemas.microsoft.com/office/drawing/2014/main" id="{00000000-0008-0000-0000-00007D000000}"/>
                </a:ext>
              </a:extLst>
            </xdr:cNvPr>
            <xdr:cNvGrpSpPr>
              <a:grpSpLocks/>
            </xdr:cNvGrpSpPr>
          </xdr:nvGrpSpPr>
          <xdr:grpSpPr bwMode="auto">
            <a:xfrm>
              <a:off x="4467243" y="17132482"/>
              <a:ext cx="922281" cy="852961"/>
              <a:chOff x="324" y="902"/>
              <a:chExt cx="36" cy="33"/>
            </a:xfrm>
          </xdr:grpSpPr>
          <xdr:sp macro="" textlink="">
            <xdr:nvSpPr>
              <xdr:cNvPr id="149" name="Freeform 847">
                <a:extLst>
                  <a:ext uri="{FF2B5EF4-FFF2-40B4-BE49-F238E27FC236}">
                    <a16:creationId xmlns:a16="http://schemas.microsoft.com/office/drawing/2014/main" id="{00000000-0008-0000-0000-000095000000}"/>
                  </a:ext>
                </a:extLst>
              </xdr:cNvPr>
              <xdr:cNvSpPr>
                <a:spLocks/>
              </xdr:cNvSpPr>
            </xdr:nvSpPr>
            <xdr:spPr bwMode="auto">
              <a:xfrm>
                <a:off x="324" y="902"/>
                <a:ext cx="36" cy="33"/>
              </a:xfrm>
              <a:custGeom>
                <a:avLst/>
                <a:gdLst>
                  <a:gd name="T0" fmla="*/ 0 w 179"/>
                  <a:gd name="T1" fmla="*/ 0 h 163"/>
                  <a:gd name="T2" fmla="*/ 0 w 179"/>
                  <a:gd name="T3" fmla="*/ 0 h 163"/>
                  <a:gd name="T4" fmla="*/ 0 w 179"/>
                  <a:gd name="T5" fmla="*/ 0 h 163"/>
                  <a:gd name="T6" fmla="*/ 0 w 179"/>
                  <a:gd name="T7" fmla="*/ 0 h 163"/>
                  <a:gd name="T8" fmla="*/ 0 w 179"/>
                  <a:gd name="T9" fmla="*/ 0 h 163"/>
                  <a:gd name="T10" fmla="*/ 0 w 179"/>
                  <a:gd name="T11" fmla="*/ 0 h 163"/>
                  <a:gd name="T12" fmla="*/ 0 w 179"/>
                  <a:gd name="T13" fmla="*/ 0 h 163"/>
                  <a:gd name="T14" fmla="*/ 0 w 179"/>
                  <a:gd name="T15" fmla="*/ 0 h 163"/>
                  <a:gd name="T16" fmla="*/ 0 w 179"/>
                  <a:gd name="T17" fmla="*/ 0 h 16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9"/>
                  <a:gd name="T28" fmla="*/ 0 h 163"/>
                  <a:gd name="T29" fmla="*/ 179 w 179"/>
                  <a:gd name="T30" fmla="*/ 163 h 16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9" h="163">
                    <a:moveTo>
                      <a:pt x="0" y="21"/>
                    </a:moveTo>
                    <a:lnTo>
                      <a:pt x="23" y="0"/>
                    </a:lnTo>
                    <a:lnTo>
                      <a:pt x="157" y="0"/>
                    </a:lnTo>
                    <a:lnTo>
                      <a:pt x="179" y="21"/>
                    </a:lnTo>
                    <a:lnTo>
                      <a:pt x="179" y="142"/>
                    </a:lnTo>
                    <a:lnTo>
                      <a:pt x="157" y="163"/>
                    </a:lnTo>
                    <a:lnTo>
                      <a:pt x="23" y="163"/>
                    </a:lnTo>
                    <a:lnTo>
                      <a:pt x="0" y="142"/>
                    </a:lnTo>
                    <a:lnTo>
                      <a:pt x="0" y="21"/>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sp macro="" textlink="">
            <xdr:nvSpPr>
              <xdr:cNvPr id="150" name="Freeform 848">
                <a:extLst>
                  <a:ext uri="{FF2B5EF4-FFF2-40B4-BE49-F238E27FC236}">
                    <a16:creationId xmlns:a16="http://schemas.microsoft.com/office/drawing/2014/main" id="{00000000-0008-0000-0000-000096000000}"/>
                  </a:ext>
                </a:extLst>
              </xdr:cNvPr>
              <xdr:cNvSpPr>
                <a:spLocks/>
              </xdr:cNvSpPr>
            </xdr:nvSpPr>
            <xdr:spPr bwMode="auto">
              <a:xfrm>
                <a:off x="324" y="906"/>
                <a:ext cx="36" cy="1"/>
              </a:xfrm>
              <a:custGeom>
                <a:avLst/>
                <a:gdLst>
                  <a:gd name="T0" fmla="*/ 0 w 179"/>
                  <a:gd name="T1" fmla="*/ 0 h 1"/>
                  <a:gd name="T2" fmla="*/ 0 w 179"/>
                  <a:gd name="T3" fmla="*/ 0 h 1"/>
                  <a:gd name="T4" fmla="*/ 0 w 179"/>
                  <a:gd name="T5" fmla="*/ 0 h 1"/>
                  <a:gd name="T6" fmla="*/ 0 60000 65536"/>
                  <a:gd name="T7" fmla="*/ 0 60000 65536"/>
                  <a:gd name="T8" fmla="*/ 0 60000 65536"/>
                  <a:gd name="T9" fmla="*/ 0 w 179"/>
                  <a:gd name="T10" fmla="*/ 0 h 1"/>
                  <a:gd name="T11" fmla="*/ 179 w 179"/>
                  <a:gd name="T12" fmla="*/ 1 h 1"/>
                </a:gdLst>
                <a:ahLst/>
                <a:cxnLst>
                  <a:cxn ang="T6">
                    <a:pos x="T0" y="T1"/>
                  </a:cxn>
                  <a:cxn ang="T7">
                    <a:pos x="T2" y="T3"/>
                  </a:cxn>
                  <a:cxn ang="T8">
                    <a:pos x="T4" y="T5"/>
                  </a:cxn>
                </a:cxnLst>
                <a:rect l="T9" t="T10" r="T11" b="T12"/>
                <a:pathLst>
                  <a:path w="179" h="1">
                    <a:moveTo>
                      <a:pt x="0" y="0"/>
                    </a:moveTo>
                    <a:lnTo>
                      <a:pt x="179" y="0"/>
                    </a:lnTo>
                    <a:lnTo>
                      <a:pt x="0" y="0"/>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sp macro="" textlink="">
            <xdr:nvSpPr>
              <xdr:cNvPr id="151" name="Freeform 849">
                <a:extLst>
                  <a:ext uri="{FF2B5EF4-FFF2-40B4-BE49-F238E27FC236}">
                    <a16:creationId xmlns:a16="http://schemas.microsoft.com/office/drawing/2014/main" id="{00000000-0008-0000-0000-000097000000}"/>
                  </a:ext>
                </a:extLst>
              </xdr:cNvPr>
              <xdr:cNvSpPr>
                <a:spLocks/>
              </xdr:cNvSpPr>
            </xdr:nvSpPr>
            <xdr:spPr bwMode="auto">
              <a:xfrm>
                <a:off x="324" y="931"/>
                <a:ext cx="36" cy="1"/>
              </a:xfrm>
              <a:custGeom>
                <a:avLst/>
                <a:gdLst>
                  <a:gd name="T0" fmla="*/ 0 w 179"/>
                  <a:gd name="T1" fmla="*/ 0 h 1"/>
                  <a:gd name="T2" fmla="*/ 0 w 179"/>
                  <a:gd name="T3" fmla="*/ 0 h 1"/>
                  <a:gd name="T4" fmla="*/ 0 w 179"/>
                  <a:gd name="T5" fmla="*/ 0 h 1"/>
                  <a:gd name="T6" fmla="*/ 0 60000 65536"/>
                  <a:gd name="T7" fmla="*/ 0 60000 65536"/>
                  <a:gd name="T8" fmla="*/ 0 60000 65536"/>
                  <a:gd name="T9" fmla="*/ 0 w 179"/>
                  <a:gd name="T10" fmla="*/ 0 h 1"/>
                  <a:gd name="T11" fmla="*/ 179 w 179"/>
                  <a:gd name="T12" fmla="*/ 1 h 1"/>
                </a:gdLst>
                <a:ahLst/>
                <a:cxnLst>
                  <a:cxn ang="T6">
                    <a:pos x="T0" y="T1"/>
                  </a:cxn>
                  <a:cxn ang="T7">
                    <a:pos x="T2" y="T3"/>
                  </a:cxn>
                  <a:cxn ang="T8">
                    <a:pos x="T4" y="T5"/>
                  </a:cxn>
                </a:cxnLst>
                <a:rect l="T9" t="T10" r="T11" b="T12"/>
                <a:pathLst>
                  <a:path w="179" h="1">
                    <a:moveTo>
                      <a:pt x="0" y="0"/>
                    </a:moveTo>
                    <a:lnTo>
                      <a:pt x="179" y="0"/>
                    </a:lnTo>
                    <a:lnTo>
                      <a:pt x="0" y="0"/>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grpSp>
        <xdr:sp macro="" textlink="">
          <xdr:nvSpPr>
            <xdr:cNvPr id="126" name="Freeform 905">
              <a:extLst>
                <a:ext uri="{FF2B5EF4-FFF2-40B4-BE49-F238E27FC236}">
                  <a16:creationId xmlns:a16="http://schemas.microsoft.com/office/drawing/2014/main" id="{00000000-0008-0000-0000-00007E000000}"/>
                </a:ext>
              </a:extLst>
            </xdr:cNvPr>
            <xdr:cNvSpPr>
              <a:spLocks/>
            </xdr:cNvSpPr>
          </xdr:nvSpPr>
          <xdr:spPr bwMode="auto">
            <a:xfrm>
              <a:off x="4319868" y="15892678"/>
              <a:ext cx="1217031" cy="1357454"/>
            </a:xfrm>
            <a:custGeom>
              <a:avLst/>
              <a:gdLst>
                <a:gd name="T0" fmla="*/ 0 w 179"/>
                <a:gd name="T1" fmla="*/ 2147483647 h 163"/>
                <a:gd name="T2" fmla="*/ 2147483647 w 179"/>
                <a:gd name="T3" fmla="*/ 0 h 163"/>
                <a:gd name="T4" fmla="*/ 2147483647 w 179"/>
                <a:gd name="T5" fmla="*/ 0 h 163"/>
                <a:gd name="T6" fmla="*/ 2147483647 w 179"/>
                <a:gd name="T7" fmla="*/ 2147483647 h 163"/>
                <a:gd name="T8" fmla="*/ 2147483647 w 179"/>
                <a:gd name="T9" fmla="*/ 2147483647 h 163"/>
                <a:gd name="T10" fmla="*/ 2147483647 w 179"/>
                <a:gd name="T11" fmla="*/ 2147483647 h 163"/>
                <a:gd name="T12" fmla="*/ 2147483647 w 179"/>
                <a:gd name="T13" fmla="*/ 2147483647 h 163"/>
                <a:gd name="T14" fmla="*/ 0 w 179"/>
                <a:gd name="T15" fmla="*/ 2147483647 h 163"/>
                <a:gd name="T16" fmla="*/ 0 w 179"/>
                <a:gd name="T17" fmla="*/ 2147483647 h 16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9"/>
                <a:gd name="T28" fmla="*/ 0 h 163"/>
                <a:gd name="T29" fmla="*/ 179 w 179"/>
                <a:gd name="T30" fmla="*/ 163 h 16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9" h="163">
                  <a:moveTo>
                    <a:pt x="0" y="21"/>
                  </a:moveTo>
                  <a:lnTo>
                    <a:pt x="23" y="0"/>
                  </a:lnTo>
                  <a:lnTo>
                    <a:pt x="157" y="0"/>
                  </a:lnTo>
                  <a:lnTo>
                    <a:pt x="179" y="21"/>
                  </a:lnTo>
                  <a:lnTo>
                    <a:pt x="179" y="142"/>
                  </a:lnTo>
                  <a:lnTo>
                    <a:pt x="157" y="163"/>
                  </a:lnTo>
                  <a:lnTo>
                    <a:pt x="23" y="163"/>
                  </a:lnTo>
                  <a:lnTo>
                    <a:pt x="0" y="142"/>
                  </a:lnTo>
                  <a:lnTo>
                    <a:pt x="0" y="21"/>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grpSp>
          <xdr:nvGrpSpPr>
            <xdr:cNvPr id="127" name="Group 858">
              <a:extLst>
                <a:ext uri="{FF2B5EF4-FFF2-40B4-BE49-F238E27FC236}">
                  <a16:creationId xmlns:a16="http://schemas.microsoft.com/office/drawing/2014/main" id="{00000000-0008-0000-0000-00007F000000}"/>
                </a:ext>
              </a:extLst>
            </xdr:cNvPr>
            <xdr:cNvGrpSpPr>
              <a:grpSpLocks/>
            </xdr:cNvGrpSpPr>
          </xdr:nvGrpSpPr>
          <xdr:grpSpPr bwMode="auto">
            <a:xfrm>
              <a:off x="4286590" y="16125107"/>
              <a:ext cx="1274079" cy="889725"/>
              <a:chOff x="9715500" y="19900902"/>
              <a:chExt cx="3403600" cy="1536697"/>
            </a:xfrm>
          </xdr:grpSpPr>
          <xdr:sp macro="" textlink="">
            <xdr:nvSpPr>
              <xdr:cNvPr id="147" name="Rectangle 2467">
                <a:extLst>
                  <a:ext uri="{FF2B5EF4-FFF2-40B4-BE49-F238E27FC236}">
                    <a16:creationId xmlns:a16="http://schemas.microsoft.com/office/drawing/2014/main" id="{00000000-0008-0000-0000-000093000000}"/>
                  </a:ext>
                </a:extLst>
              </xdr:cNvPr>
              <xdr:cNvSpPr>
                <a:spLocks noChangeArrowheads="1"/>
              </xdr:cNvSpPr>
            </xdr:nvSpPr>
            <xdr:spPr bwMode="auto">
              <a:xfrm>
                <a:off x="9715500" y="20802602"/>
                <a:ext cx="3403600" cy="634997"/>
              </a:xfrm>
              <a:prstGeom prst="rect">
                <a:avLst/>
              </a:prstGeom>
              <a:solidFill>
                <a:srgbClr val="000000"/>
              </a:solidFill>
              <a:ln w="9525">
                <a:solidFill>
                  <a:srgbClr val="000000"/>
                </a:solidFill>
                <a:miter lim="800000"/>
                <a:headEnd/>
                <a:tailEnd/>
              </a:ln>
            </xdr:spPr>
          </xdr:sp>
          <xdr:sp macro="" textlink="">
            <xdr:nvSpPr>
              <xdr:cNvPr id="148" name="Rectangle 2467">
                <a:extLst>
                  <a:ext uri="{FF2B5EF4-FFF2-40B4-BE49-F238E27FC236}">
                    <a16:creationId xmlns:a16="http://schemas.microsoft.com/office/drawing/2014/main" id="{00000000-0008-0000-0000-000094000000}"/>
                  </a:ext>
                </a:extLst>
              </xdr:cNvPr>
              <xdr:cNvSpPr>
                <a:spLocks noChangeArrowheads="1"/>
              </xdr:cNvSpPr>
            </xdr:nvSpPr>
            <xdr:spPr bwMode="auto">
              <a:xfrm>
                <a:off x="9715500" y="19900902"/>
                <a:ext cx="3403600" cy="673097"/>
              </a:xfrm>
              <a:prstGeom prst="rect">
                <a:avLst/>
              </a:prstGeom>
              <a:solidFill>
                <a:srgbClr val="000000"/>
              </a:solidFill>
              <a:ln w="9525">
                <a:solidFill>
                  <a:srgbClr val="000000"/>
                </a:solidFill>
                <a:miter lim="800000"/>
                <a:headEnd/>
                <a:tailEnd/>
              </a:ln>
            </xdr:spPr>
          </xdr:sp>
        </xdr:grpSp>
        <xdr:sp macro="" textlink="">
          <xdr:nvSpPr>
            <xdr:cNvPr id="128" name="Rectangle 2418">
              <a:extLst>
                <a:ext uri="{FF2B5EF4-FFF2-40B4-BE49-F238E27FC236}">
                  <a16:creationId xmlns:a16="http://schemas.microsoft.com/office/drawing/2014/main" id="{00000000-0008-0000-0000-000080000000}"/>
                </a:ext>
              </a:extLst>
            </xdr:cNvPr>
            <xdr:cNvSpPr>
              <a:spLocks noChangeArrowheads="1"/>
            </xdr:cNvSpPr>
          </xdr:nvSpPr>
          <xdr:spPr bwMode="auto">
            <a:xfrm>
              <a:off x="4469559" y="15330970"/>
              <a:ext cx="919965" cy="566190"/>
            </a:xfrm>
            <a:prstGeom prst="rect">
              <a:avLst/>
            </a:prstGeom>
            <a:gradFill rotWithShape="0">
              <a:gsLst>
                <a:gs pos="0">
                  <a:srgbClr val="76765E"/>
                </a:gs>
                <a:gs pos="50000">
                  <a:srgbClr val="FFFFCC"/>
                </a:gs>
                <a:gs pos="100000">
                  <a:srgbClr val="76765E"/>
                </a:gs>
              </a:gsLst>
              <a:lin ang="0" scaled="1"/>
            </a:gradFill>
            <a:ln w="9525">
              <a:solidFill>
                <a:srgbClr val="000000"/>
              </a:solidFill>
              <a:miter lim="800000"/>
              <a:headEnd/>
              <a:tailEnd/>
            </a:ln>
          </xdr:spPr>
        </xdr:sp>
        <xdr:grpSp>
          <xdr:nvGrpSpPr>
            <xdr:cNvPr id="129" name="Group 861">
              <a:extLst>
                <a:ext uri="{FF2B5EF4-FFF2-40B4-BE49-F238E27FC236}">
                  <a16:creationId xmlns:a16="http://schemas.microsoft.com/office/drawing/2014/main" id="{00000000-0008-0000-0000-000081000000}"/>
                </a:ext>
              </a:extLst>
            </xdr:cNvPr>
            <xdr:cNvGrpSpPr>
              <a:grpSpLocks/>
            </xdr:cNvGrpSpPr>
          </xdr:nvGrpSpPr>
          <xdr:grpSpPr bwMode="auto">
            <a:xfrm>
              <a:off x="4646950" y="15520884"/>
              <a:ext cx="569107" cy="168975"/>
              <a:chOff x="5496590" y="18743012"/>
              <a:chExt cx="1520330" cy="291847"/>
            </a:xfrm>
          </xdr:grpSpPr>
          <xdr:sp macro="" textlink="">
            <xdr:nvSpPr>
              <xdr:cNvPr id="144" name="Oval 2505">
                <a:extLst>
                  <a:ext uri="{FF2B5EF4-FFF2-40B4-BE49-F238E27FC236}">
                    <a16:creationId xmlns:a16="http://schemas.microsoft.com/office/drawing/2014/main" id="{00000000-0008-0000-0000-000090000000}"/>
                  </a:ext>
                </a:extLst>
              </xdr:cNvPr>
              <xdr:cNvSpPr>
                <a:spLocks noChangeArrowheads="1"/>
              </xdr:cNvSpPr>
            </xdr:nvSpPr>
            <xdr:spPr bwMode="auto">
              <a:xfrm>
                <a:off x="5566635" y="18743012"/>
                <a:ext cx="341243" cy="284707"/>
              </a:xfrm>
              <a:prstGeom prst="ellipse">
                <a:avLst/>
              </a:prstGeom>
              <a:solidFill>
                <a:srgbClr val="000000"/>
              </a:solidFill>
              <a:ln w="9525">
                <a:solidFill>
                  <a:srgbClr val="000000"/>
                </a:solidFill>
                <a:round/>
                <a:headEnd/>
                <a:tailEnd/>
              </a:ln>
            </xdr:spPr>
          </xdr:sp>
          <xdr:sp macro="" textlink="">
            <xdr:nvSpPr>
              <xdr:cNvPr id="145" name="Oval 2506">
                <a:extLst>
                  <a:ext uri="{FF2B5EF4-FFF2-40B4-BE49-F238E27FC236}">
                    <a16:creationId xmlns:a16="http://schemas.microsoft.com/office/drawing/2014/main" id="{00000000-0008-0000-0000-000091000000}"/>
                  </a:ext>
                </a:extLst>
              </xdr:cNvPr>
              <xdr:cNvSpPr>
                <a:spLocks noChangeArrowheads="1"/>
              </xdr:cNvSpPr>
            </xdr:nvSpPr>
            <xdr:spPr bwMode="auto">
              <a:xfrm>
                <a:off x="6675677" y="18743012"/>
                <a:ext cx="341243" cy="284707"/>
              </a:xfrm>
              <a:prstGeom prst="ellipse">
                <a:avLst/>
              </a:prstGeom>
              <a:solidFill>
                <a:srgbClr val="000000"/>
              </a:solidFill>
              <a:ln w="9525">
                <a:solidFill>
                  <a:srgbClr val="000000"/>
                </a:solidFill>
                <a:round/>
                <a:headEnd/>
                <a:tailEnd/>
              </a:ln>
            </xdr:spPr>
          </xdr:sp>
          <xdr:sp macro="" textlink="">
            <xdr:nvSpPr>
              <xdr:cNvPr id="146" name="Oval 2643">
                <a:extLst>
                  <a:ext uri="{FF2B5EF4-FFF2-40B4-BE49-F238E27FC236}">
                    <a16:creationId xmlns:a16="http://schemas.microsoft.com/office/drawing/2014/main" id="{00000000-0008-0000-0000-000092000000}"/>
                  </a:ext>
                </a:extLst>
              </xdr:cNvPr>
              <xdr:cNvSpPr>
                <a:spLocks noChangeArrowheads="1"/>
              </xdr:cNvSpPr>
            </xdr:nvSpPr>
            <xdr:spPr bwMode="auto">
              <a:xfrm>
                <a:off x="5496590" y="18750152"/>
                <a:ext cx="331765" cy="284707"/>
              </a:xfrm>
              <a:prstGeom prst="ellipse">
                <a:avLst/>
              </a:prstGeom>
              <a:solidFill>
                <a:srgbClr val="FFFFFF"/>
              </a:solidFill>
              <a:ln w="9525">
                <a:solidFill>
                  <a:srgbClr val="000000"/>
                </a:solidFill>
                <a:round/>
                <a:headEnd/>
                <a:tailEnd/>
              </a:ln>
            </xdr:spPr>
          </xdr:sp>
        </xdr:grpSp>
        <xdr:sp macro="" textlink="">
          <xdr:nvSpPr>
            <xdr:cNvPr id="130" name="Freeform 2425">
              <a:extLst>
                <a:ext uri="{FF2B5EF4-FFF2-40B4-BE49-F238E27FC236}">
                  <a16:creationId xmlns:a16="http://schemas.microsoft.com/office/drawing/2014/main" id="{00000000-0008-0000-0000-000082000000}"/>
                </a:ext>
              </a:extLst>
            </xdr:cNvPr>
            <xdr:cNvSpPr>
              <a:spLocks/>
            </xdr:cNvSpPr>
          </xdr:nvSpPr>
          <xdr:spPr bwMode="auto">
            <a:xfrm flipH="1">
              <a:off x="5291930" y="17213367"/>
              <a:ext cx="308770" cy="493322"/>
            </a:xfrm>
            <a:custGeom>
              <a:avLst/>
              <a:gdLst>
                <a:gd name="T0" fmla="*/ 2147483647 w 72"/>
                <a:gd name="T1" fmla="*/ 0 h 191"/>
                <a:gd name="T2" fmla="*/ 2147483647 w 72"/>
                <a:gd name="T3" fmla="*/ 0 h 191"/>
                <a:gd name="T4" fmla="*/ 2147483647 w 72"/>
                <a:gd name="T5" fmla="*/ 0 h 191"/>
                <a:gd name="T6" fmla="*/ 2147483647 w 72"/>
                <a:gd name="T7" fmla="*/ 2147483647 h 191"/>
                <a:gd name="T8" fmla="*/ 2147483647 w 72"/>
                <a:gd name="T9" fmla="*/ 2147483647 h 191"/>
                <a:gd name="T10" fmla="*/ 2147483647 w 72"/>
                <a:gd name="T11" fmla="*/ 2147483647 h 191"/>
                <a:gd name="T12" fmla="*/ 2147483647 w 72"/>
                <a:gd name="T13" fmla="*/ 2147483647 h 191"/>
                <a:gd name="T14" fmla="*/ 2147483647 w 72"/>
                <a:gd name="T15" fmla="*/ 2147483647 h 191"/>
                <a:gd name="T16" fmla="*/ 2147483647 w 72"/>
                <a:gd name="T17" fmla="*/ 2147483647 h 191"/>
                <a:gd name="T18" fmla="*/ 2147483647 w 72"/>
                <a:gd name="T19" fmla="*/ 2147483647 h 191"/>
                <a:gd name="T20" fmla="*/ 2147483647 w 72"/>
                <a:gd name="T21" fmla="*/ 2147483647 h 191"/>
                <a:gd name="T22" fmla="*/ 2147483647 w 72"/>
                <a:gd name="T23" fmla="*/ 2147483647 h 191"/>
                <a:gd name="T24" fmla="*/ 2147483647 w 72"/>
                <a:gd name="T25" fmla="*/ 2147483647 h 191"/>
                <a:gd name="T26" fmla="*/ 2147483647 w 72"/>
                <a:gd name="T27" fmla="*/ 2147483647 h 191"/>
                <a:gd name="T28" fmla="*/ 2147483647 w 72"/>
                <a:gd name="T29" fmla="*/ 0 h 191"/>
                <a:gd name="T30" fmla="*/ 2147483647 w 72"/>
                <a:gd name="T31" fmla="*/ 2147483647 h 191"/>
                <a:gd name="T32" fmla="*/ 2147483647 w 72"/>
                <a:gd name="T33" fmla="*/ 0 h 191"/>
                <a:gd name="T34" fmla="*/ 2147483647 w 72"/>
                <a:gd name="T35" fmla="*/ 0 h 191"/>
                <a:gd name="T36" fmla="*/ 2147483647 w 72"/>
                <a:gd name="T37" fmla="*/ 0 h 191"/>
                <a:gd name="T38" fmla="*/ 0 w 72"/>
                <a:gd name="T39" fmla="*/ 0 h 191"/>
                <a:gd name="T40" fmla="*/ 2147483647 w 72"/>
                <a:gd name="T41" fmla="*/ 0 h 191"/>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72"/>
                <a:gd name="T64" fmla="*/ 0 h 191"/>
                <a:gd name="T65" fmla="*/ 72 w 72"/>
                <a:gd name="T66" fmla="*/ 191 h 191"/>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72" h="191">
                  <a:moveTo>
                    <a:pt x="16" y="0"/>
                  </a:moveTo>
                  <a:lnTo>
                    <a:pt x="38" y="0"/>
                  </a:lnTo>
                  <a:lnTo>
                    <a:pt x="72" y="54"/>
                  </a:lnTo>
                  <a:cubicBezTo>
                    <a:pt x="71" y="79"/>
                    <a:pt x="70" y="128"/>
                    <a:pt x="70" y="128"/>
                  </a:cubicBezTo>
                  <a:lnTo>
                    <a:pt x="58" y="129"/>
                  </a:lnTo>
                  <a:lnTo>
                    <a:pt x="58" y="191"/>
                  </a:lnTo>
                  <a:lnTo>
                    <a:pt x="29" y="191"/>
                  </a:lnTo>
                  <a:lnTo>
                    <a:pt x="29" y="131"/>
                  </a:lnTo>
                  <a:lnTo>
                    <a:pt x="29" y="116"/>
                  </a:lnTo>
                  <a:lnTo>
                    <a:pt x="20" y="116"/>
                  </a:lnTo>
                  <a:lnTo>
                    <a:pt x="25" y="96"/>
                  </a:lnTo>
                  <a:lnTo>
                    <a:pt x="12" y="99"/>
                  </a:lnTo>
                  <a:lnTo>
                    <a:pt x="22" y="78"/>
                  </a:lnTo>
                  <a:lnTo>
                    <a:pt x="8" y="80"/>
                  </a:lnTo>
                  <a:lnTo>
                    <a:pt x="21" y="57"/>
                  </a:lnTo>
                  <a:lnTo>
                    <a:pt x="4" y="62"/>
                  </a:lnTo>
                  <a:lnTo>
                    <a:pt x="18" y="38"/>
                  </a:lnTo>
                  <a:lnTo>
                    <a:pt x="1" y="42"/>
                  </a:lnTo>
                  <a:lnTo>
                    <a:pt x="17" y="21"/>
                  </a:lnTo>
                  <a:lnTo>
                    <a:pt x="0" y="23"/>
                  </a:lnTo>
                  <a:lnTo>
                    <a:pt x="16" y="0"/>
                  </a:lnTo>
                  <a:close/>
                </a:path>
              </a:pathLst>
            </a:custGeom>
            <a:gradFill rotWithShape="1">
              <a:gsLst>
                <a:gs pos="0">
                  <a:srgbClr val="76765E"/>
                </a:gs>
                <a:gs pos="100000">
                  <a:srgbClr val="FFFFCC"/>
                </a:gs>
              </a:gsLst>
              <a:lin ang="0" scaled="1"/>
            </a:gradFill>
            <a:ln w="9525" cap="flat" cmpd="sng">
              <a:solidFill>
                <a:srgbClr val="000000"/>
              </a:solidFill>
              <a:prstDash val="solid"/>
              <a:round/>
              <a:headEnd/>
              <a:tailEnd/>
            </a:ln>
          </xdr:spPr>
        </xdr:sp>
        <xdr:sp macro="" textlink="">
          <xdr:nvSpPr>
            <xdr:cNvPr id="131" name="Freeform 2426">
              <a:extLst>
                <a:ext uri="{FF2B5EF4-FFF2-40B4-BE49-F238E27FC236}">
                  <a16:creationId xmlns:a16="http://schemas.microsoft.com/office/drawing/2014/main" id="{00000000-0008-0000-0000-000083000000}"/>
                </a:ext>
              </a:extLst>
            </xdr:cNvPr>
            <xdr:cNvSpPr>
              <a:spLocks/>
            </xdr:cNvSpPr>
          </xdr:nvSpPr>
          <xdr:spPr bwMode="auto">
            <a:xfrm>
              <a:off x="4254500" y="17206159"/>
              <a:ext cx="308770" cy="480672"/>
            </a:xfrm>
            <a:custGeom>
              <a:avLst/>
              <a:gdLst>
                <a:gd name="T0" fmla="*/ 2147483647 w 72"/>
                <a:gd name="T1" fmla="*/ 0 h 191"/>
                <a:gd name="T2" fmla="*/ 2147483647 w 72"/>
                <a:gd name="T3" fmla="*/ 0 h 191"/>
                <a:gd name="T4" fmla="*/ 2147483647 w 72"/>
                <a:gd name="T5" fmla="*/ 0 h 191"/>
                <a:gd name="T6" fmla="*/ 2147483647 w 72"/>
                <a:gd name="T7" fmla="*/ 2147483647 h 191"/>
                <a:gd name="T8" fmla="*/ 2147483647 w 72"/>
                <a:gd name="T9" fmla="*/ 2147483647 h 191"/>
                <a:gd name="T10" fmla="*/ 2147483647 w 72"/>
                <a:gd name="T11" fmla="*/ 2147483647 h 191"/>
                <a:gd name="T12" fmla="*/ 2147483647 w 72"/>
                <a:gd name="T13" fmla="*/ 2147483647 h 191"/>
                <a:gd name="T14" fmla="*/ 2147483647 w 72"/>
                <a:gd name="T15" fmla="*/ 2147483647 h 191"/>
                <a:gd name="T16" fmla="*/ 2147483647 w 72"/>
                <a:gd name="T17" fmla="*/ 2147483647 h 191"/>
                <a:gd name="T18" fmla="*/ 2147483647 w 72"/>
                <a:gd name="T19" fmla="*/ 2147483647 h 191"/>
                <a:gd name="T20" fmla="*/ 2147483647 w 72"/>
                <a:gd name="T21" fmla="*/ 2147483647 h 191"/>
                <a:gd name="T22" fmla="*/ 2147483647 w 72"/>
                <a:gd name="T23" fmla="*/ 2147483647 h 191"/>
                <a:gd name="T24" fmla="*/ 2147483647 w 72"/>
                <a:gd name="T25" fmla="*/ 2147483647 h 191"/>
                <a:gd name="T26" fmla="*/ 2147483647 w 72"/>
                <a:gd name="T27" fmla="*/ 2147483647 h 191"/>
                <a:gd name="T28" fmla="*/ 2147483647 w 72"/>
                <a:gd name="T29" fmla="*/ 0 h 191"/>
                <a:gd name="T30" fmla="*/ 2147483647 w 72"/>
                <a:gd name="T31" fmla="*/ 0 h 191"/>
                <a:gd name="T32" fmla="*/ 2147483647 w 72"/>
                <a:gd name="T33" fmla="*/ 0 h 191"/>
                <a:gd name="T34" fmla="*/ 2147483647 w 72"/>
                <a:gd name="T35" fmla="*/ 0 h 191"/>
                <a:gd name="T36" fmla="*/ 2147483647 w 72"/>
                <a:gd name="T37" fmla="*/ 0 h 191"/>
                <a:gd name="T38" fmla="*/ 0 w 72"/>
                <a:gd name="T39" fmla="*/ 0 h 191"/>
                <a:gd name="T40" fmla="*/ 2147483647 w 72"/>
                <a:gd name="T41" fmla="*/ 0 h 191"/>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72"/>
                <a:gd name="T64" fmla="*/ 0 h 191"/>
                <a:gd name="T65" fmla="*/ 72 w 72"/>
                <a:gd name="T66" fmla="*/ 191 h 191"/>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72" h="191">
                  <a:moveTo>
                    <a:pt x="16" y="0"/>
                  </a:moveTo>
                  <a:lnTo>
                    <a:pt x="38" y="0"/>
                  </a:lnTo>
                  <a:lnTo>
                    <a:pt x="72" y="54"/>
                  </a:lnTo>
                  <a:cubicBezTo>
                    <a:pt x="71" y="79"/>
                    <a:pt x="70" y="128"/>
                    <a:pt x="70" y="128"/>
                  </a:cubicBezTo>
                  <a:lnTo>
                    <a:pt x="58" y="129"/>
                  </a:lnTo>
                  <a:lnTo>
                    <a:pt x="58" y="191"/>
                  </a:lnTo>
                  <a:lnTo>
                    <a:pt x="29" y="191"/>
                  </a:lnTo>
                  <a:lnTo>
                    <a:pt x="29" y="131"/>
                  </a:lnTo>
                  <a:lnTo>
                    <a:pt x="29" y="116"/>
                  </a:lnTo>
                  <a:lnTo>
                    <a:pt x="20" y="116"/>
                  </a:lnTo>
                  <a:lnTo>
                    <a:pt x="25" y="96"/>
                  </a:lnTo>
                  <a:lnTo>
                    <a:pt x="12" y="99"/>
                  </a:lnTo>
                  <a:lnTo>
                    <a:pt x="22" y="78"/>
                  </a:lnTo>
                  <a:lnTo>
                    <a:pt x="8" y="80"/>
                  </a:lnTo>
                  <a:lnTo>
                    <a:pt x="21" y="57"/>
                  </a:lnTo>
                  <a:lnTo>
                    <a:pt x="4" y="62"/>
                  </a:lnTo>
                  <a:lnTo>
                    <a:pt x="18" y="38"/>
                  </a:lnTo>
                  <a:lnTo>
                    <a:pt x="1" y="42"/>
                  </a:lnTo>
                  <a:lnTo>
                    <a:pt x="17" y="21"/>
                  </a:lnTo>
                  <a:lnTo>
                    <a:pt x="0" y="23"/>
                  </a:lnTo>
                  <a:lnTo>
                    <a:pt x="16" y="0"/>
                  </a:lnTo>
                  <a:close/>
                </a:path>
              </a:pathLst>
            </a:custGeom>
            <a:gradFill rotWithShape="1">
              <a:gsLst>
                <a:gs pos="0">
                  <a:srgbClr val="FFFFCC"/>
                </a:gs>
                <a:gs pos="100000">
                  <a:srgbClr val="76765E"/>
                </a:gs>
              </a:gsLst>
              <a:lin ang="0" scaled="1"/>
            </a:gradFill>
            <a:ln w="9525" cap="flat" cmpd="sng">
              <a:solidFill>
                <a:srgbClr val="000000"/>
              </a:solidFill>
              <a:prstDash val="solid"/>
              <a:round/>
              <a:headEnd/>
              <a:tailEnd/>
            </a:ln>
          </xdr:spPr>
        </xdr:sp>
        <xdr:sp macro="" textlink="">
          <xdr:nvSpPr>
            <xdr:cNvPr id="132" name="Rectangle 2418">
              <a:extLst>
                <a:ext uri="{FF2B5EF4-FFF2-40B4-BE49-F238E27FC236}">
                  <a16:creationId xmlns:a16="http://schemas.microsoft.com/office/drawing/2014/main" id="{00000000-0008-0000-0000-000084000000}"/>
                </a:ext>
              </a:extLst>
            </xdr:cNvPr>
            <xdr:cNvSpPr>
              <a:spLocks noChangeArrowheads="1"/>
            </xdr:cNvSpPr>
          </xdr:nvSpPr>
          <xdr:spPr bwMode="auto">
            <a:xfrm>
              <a:off x="4407757" y="17683966"/>
              <a:ext cx="1038816" cy="139709"/>
            </a:xfrm>
            <a:prstGeom prst="rect">
              <a:avLst/>
            </a:prstGeom>
            <a:gradFill rotWithShape="0">
              <a:gsLst>
                <a:gs pos="0">
                  <a:srgbClr val="76765E"/>
                </a:gs>
                <a:gs pos="50000">
                  <a:srgbClr val="FFFFCC"/>
                </a:gs>
                <a:gs pos="100000">
                  <a:srgbClr val="76765E"/>
                </a:gs>
              </a:gsLst>
              <a:lin ang="0" scaled="1"/>
            </a:gradFill>
            <a:ln w="9525">
              <a:solidFill>
                <a:srgbClr val="000000"/>
              </a:solidFill>
              <a:miter lim="800000"/>
              <a:headEnd/>
              <a:tailEnd/>
            </a:ln>
          </xdr:spPr>
        </xdr:sp>
        <xdr:grpSp>
          <xdr:nvGrpSpPr>
            <xdr:cNvPr id="133" name="Group 2454">
              <a:extLst>
                <a:ext uri="{FF2B5EF4-FFF2-40B4-BE49-F238E27FC236}">
                  <a16:creationId xmlns:a16="http://schemas.microsoft.com/office/drawing/2014/main" id="{00000000-0008-0000-0000-000085000000}"/>
                </a:ext>
              </a:extLst>
            </xdr:cNvPr>
            <xdr:cNvGrpSpPr>
              <a:grpSpLocks/>
            </xdr:cNvGrpSpPr>
          </xdr:nvGrpSpPr>
          <xdr:grpSpPr bwMode="auto">
            <a:xfrm>
              <a:off x="4728715" y="17192465"/>
              <a:ext cx="414032" cy="394156"/>
              <a:chOff x="1622" y="1624"/>
              <a:chExt cx="89" cy="80"/>
            </a:xfrm>
          </xdr:grpSpPr>
          <xdr:sp macro="" textlink="">
            <xdr:nvSpPr>
              <xdr:cNvPr id="134" name="AutoShape 2455">
                <a:extLst>
                  <a:ext uri="{FF2B5EF4-FFF2-40B4-BE49-F238E27FC236}">
                    <a16:creationId xmlns:a16="http://schemas.microsoft.com/office/drawing/2014/main" id="{00000000-0008-0000-0000-000086000000}"/>
                  </a:ext>
                </a:extLst>
              </xdr:cNvPr>
              <xdr:cNvSpPr>
                <a:spLocks noChangeArrowheads="1"/>
              </xdr:cNvSpPr>
            </xdr:nvSpPr>
            <xdr:spPr bwMode="auto">
              <a:xfrm>
                <a:off x="1622" y="1624"/>
                <a:ext cx="89" cy="80"/>
              </a:xfrm>
              <a:prstGeom prst="roundRect">
                <a:avLst>
                  <a:gd name="adj" fmla="val 16667"/>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35" name="Oval 2456">
                <a:extLst>
                  <a:ext uri="{FF2B5EF4-FFF2-40B4-BE49-F238E27FC236}">
                    <a16:creationId xmlns:a16="http://schemas.microsoft.com/office/drawing/2014/main" id="{00000000-0008-0000-0000-000087000000}"/>
                  </a:ext>
                </a:extLst>
              </xdr:cNvPr>
              <xdr:cNvSpPr>
                <a:spLocks noChangeArrowheads="1"/>
              </xdr:cNvSpPr>
            </xdr:nvSpPr>
            <xdr:spPr bwMode="auto">
              <a:xfrm>
                <a:off x="1634" y="1635"/>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36" name="Oval 2457">
                <a:extLst>
                  <a:ext uri="{FF2B5EF4-FFF2-40B4-BE49-F238E27FC236}">
                    <a16:creationId xmlns:a16="http://schemas.microsoft.com/office/drawing/2014/main" id="{00000000-0008-0000-0000-000088000000}"/>
                  </a:ext>
                </a:extLst>
              </xdr:cNvPr>
              <xdr:cNvSpPr>
                <a:spLocks noChangeArrowheads="1"/>
              </xdr:cNvSpPr>
            </xdr:nvSpPr>
            <xdr:spPr bwMode="auto">
              <a:xfrm>
                <a:off x="1635" y="1680"/>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37" name="Oval 2458">
                <a:extLst>
                  <a:ext uri="{FF2B5EF4-FFF2-40B4-BE49-F238E27FC236}">
                    <a16:creationId xmlns:a16="http://schemas.microsoft.com/office/drawing/2014/main" id="{00000000-0008-0000-0000-000089000000}"/>
                  </a:ext>
                </a:extLst>
              </xdr:cNvPr>
              <xdr:cNvSpPr>
                <a:spLocks noChangeArrowheads="1"/>
              </xdr:cNvSpPr>
            </xdr:nvSpPr>
            <xdr:spPr bwMode="auto">
              <a:xfrm>
                <a:off x="1634" y="1659"/>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38" name="Oval 2459">
                <a:extLst>
                  <a:ext uri="{FF2B5EF4-FFF2-40B4-BE49-F238E27FC236}">
                    <a16:creationId xmlns:a16="http://schemas.microsoft.com/office/drawing/2014/main" id="{00000000-0008-0000-0000-00008A000000}"/>
                  </a:ext>
                </a:extLst>
              </xdr:cNvPr>
              <xdr:cNvSpPr>
                <a:spLocks noChangeArrowheads="1"/>
              </xdr:cNvSpPr>
            </xdr:nvSpPr>
            <xdr:spPr bwMode="auto">
              <a:xfrm>
                <a:off x="1660" y="1682"/>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39" name="Oval 2460">
                <a:extLst>
                  <a:ext uri="{FF2B5EF4-FFF2-40B4-BE49-F238E27FC236}">
                    <a16:creationId xmlns:a16="http://schemas.microsoft.com/office/drawing/2014/main" id="{00000000-0008-0000-0000-00008B000000}"/>
                  </a:ext>
                </a:extLst>
              </xdr:cNvPr>
              <xdr:cNvSpPr>
                <a:spLocks noChangeArrowheads="1"/>
              </xdr:cNvSpPr>
            </xdr:nvSpPr>
            <xdr:spPr bwMode="auto">
              <a:xfrm>
                <a:off x="1683" y="1680"/>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40" name="Oval 2461">
                <a:extLst>
                  <a:ext uri="{FF2B5EF4-FFF2-40B4-BE49-F238E27FC236}">
                    <a16:creationId xmlns:a16="http://schemas.microsoft.com/office/drawing/2014/main" id="{00000000-0008-0000-0000-00008C000000}"/>
                  </a:ext>
                </a:extLst>
              </xdr:cNvPr>
              <xdr:cNvSpPr>
                <a:spLocks noChangeArrowheads="1"/>
              </xdr:cNvSpPr>
            </xdr:nvSpPr>
            <xdr:spPr bwMode="auto">
              <a:xfrm>
                <a:off x="1659" y="1659"/>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41" name="Oval 2462">
                <a:extLst>
                  <a:ext uri="{FF2B5EF4-FFF2-40B4-BE49-F238E27FC236}">
                    <a16:creationId xmlns:a16="http://schemas.microsoft.com/office/drawing/2014/main" id="{00000000-0008-0000-0000-00008D000000}"/>
                  </a:ext>
                </a:extLst>
              </xdr:cNvPr>
              <xdr:cNvSpPr>
                <a:spLocks noChangeArrowheads="1"/>
              </xdr:cNvSpPr>
            </xdr:nvSpPr>
            <xdr:spPr bwMode="auto">
              <a:xfrm>
                <a:off x="1683" y="1659"/>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42" name="Oval 2463">
                <a:extLst>
                  <a:ext uri="{FF2B5EF4-FFF2-40B4-BE49-F238E27FC236}">
                    <a16:creationId xmlns:a16="http://schemas.microsoft.com/office/drawing/2014/main" id="{00000000-0008-0000-0000-00008E000000}"/>
                  </a:ext>
                </a:extLst>
              </xdr:cNvPr>
              <xdr:cNvSpPr>
                <a:spLocks noChangeArrowheads="1"/>
              </xdr:cNvSpPr>
            </xdr:nvSpPr>
            <xdr:spPr bwMode="auto">
              <a:xfrm>
                <a:off x="1683" y="1635"/>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sp macro="" textlink="">
            <xdr:nvSpPr>
              <xdr:cNvPr id="143" name="Oval 2464">
                <a:extLst>
                  <a:ext uri="{FF2B5EF4-FFF2-40B4-BE49-F238E27FC236}">
                    <a16:creationId xmlns:a16="http://schemas.microsoft.com/office/drawing/2014/main" id="{00000000-0008-0000-0000-00008F000000}"/>
                  </a:ext>
                </a:extLst>
              </xdr:cNvPr>
              <xdr:cNvSpPr>
                <a:spLocks noChangeArrowheads="1"/>
              </xdr:cNvSpPr>
            </xdr:nvSpPr>
            <xdr:spPr bwMode="auto">
              <a:xfrm>
                <a:off x="1659" y="1635"/>
                <a:ext cx="14" cy="13"/>
              </a:xfrm>
              <a:prstGeom prst="ellipse">
                <a:avLst/>
              </a:prstGeom>
              <a:gradFill rotWithShape="1">
                <a:gsLst>
                  <a:gs pos="0">
                    <a:srgbClr val="76765E"/>
                  </a:gs>
                  <a:gs pos="50000">
                    <a:srgbClr val="FFFFCC"/>
                  </a:gs>
                  <a:gs pos="100000">
                    <a:srgbClr val="76765E"/>
                  </a:gs>
                </a:gsLst>
                <a:lin ang="0" scaled="1"/>
              </a:gradFill>
              <a:ln w="9525">
                <a:solidFill>
                  <a:srgbClr val="000000"/>
                </a:solidFill>
                <a:round/>
                <a:headEnd/>
                <a:tailEnd/>
              </a:ln>
            </xdr:spPr>
          </xdr:sp>
        </xdr:grpSp>
      </xdr:grpSp>
    </xdr:grpSp>
    <xdr:clientData/>
  </xdr:twoCellAnchor>
  <xdr:twoCellAnchor>
    <xdr:from>
      <xdr:col>1</xdr:col>
      <xdr:colOff>561975</xdr:colOff>
      <xdr:row>55</xdr:row>
      <xdr:rowOff>385638</xdr:rowOff>
    </xdr:from>
    <xdr:to>
      <xdr:col>1</xdr:col>
      <xdr:colOff>876300</xdr:colOff>
      <xdr:row>56</xdr:row>
      <xdr:rowOff>266700</xdr:rowOff>
    </xdr:to>
    <xdr:grpSp>
      <xdr:nvGrpSpPr>
        <xdr:cNvPr id="196" name="Group 127990">
          <a:extLst>
            <a:ext uri="{FF2B5EF4-FFF2-40B4-BE49-F238E27FC236}">
              <a16:creationId xmlns:a16="http://schemas.microsoft.com/office/drawing/2014/main" id="{00000000-0008-0000-0000-0000C4000000}"/>
            </a:ext>
          </a:extLst>
        </xdr:cNvPr>
        <xdr:cNvGrpSpPr>
          <a:grpSpLocks/>
        </xdr:cNvGrpSpPr>
      </xdr:nvGrpSpPr>
      <xdr:grpSpPr bwMode="auto">
        <a:xfrm>
          <a:off x="1160689" y="20284724"/>
          <a:ext cx="314325" cy="272947"/>
          <a:chOff x="409" y="1559"/>
          <a:chExt cx="39" cy="34"/>
        </a:xfrm>
      </xdr:grpSpPr>
      <xdr:grpSp>
        <xdr:nvGrpSpPr>
          <xdr:cNvPr id="197" name="Group 2349">
            <a:extLst>
              <a:ext uri="{FF2B5EF4-FFF2-40B4-BE49-F238E27FC236}">
                <a16:creationId xmlns:a16="http://schemas.microsoft.com/office/drawing/2014/main" id="{00000000-0008-0000-0000-0000C5000000}"/>
              </a:ext>
            </a:extLst>
          </xdr:cNvPr>
          <xdr:cNvGrpSpPr>
            <a:grpSpLocks/>
          </xdr:cNvGrpSpPr>
        </xdr:nvGrpSpPr>
        <xdr:grpSpPr bwMode="auto">
          <a:xfrm>
            <a:off x="409" y="1559"/>
            <a:ext cx="39" cy="34"/>
            <a:chOff x="125" y="728"/>
            <a:chExt cx="36" cy="23"/>
          </a:xfrm>
        </xdr:grpSpPr>
        <xdr:sp macro="" textlink="">
          <xdr:nvSpPr>
            <xdr:cNvPr id="199" name="Freeform 2350">
              <a:extLst>
                <a:ext uri="{FF2B5EF4-FFF2-40B4-BE49-F238E27FC236}">
                  <a16:creationId xmlns:a16="http://schemas.microsoft.com/office/drawing/2014/main" id="{00000000-0008-0000-0000-0000C7000000}"/>
                </a:ext>
              </a:extLst>
            </xdr:cNvPr>
            <xdr:cNvSpPr>
              <a:spLocks/>
            </xdr:cNvSpPr>
          </xdr:nvSpPr>
          <xdr:spPr bwMode="auto">
            <a:xfrm>
              <a:off x="125" y="728"/>
              <a:ext cx="36" cy="23"/>
            </a:xfrm>
            <a:custGeom>
              <a:avLst/>
              <a:gdLst>
                <a:gd name="T0" fmla="*/ 0 w 179"/>
                <a:gd name="T1" fmla="*/ 0 h 163"/>
                <a:gd name="T2" fmla="*/ 0 w 179"/>
                <a:gd name="T3" fmla="*/ 0 h 163"/>
                <a:gd name="T4" fmla="*/ 0 w 179"/>
                <a:gd name="T5" fmla="*/ 0 h 163"/>
                <a:gd name="T6" fmla="*/ 0 w 179"/>
                <a:gd name="T7" fmla="*/ 0 h 163"/>
                <a:gd name="T8" fmla="*/ 0 w 179"/>
                <a:gd name="T9" fmla="*/ 0 h 163"/>
                <a:gd name="T10" fmla="*/ 0 w 179"/>
                <a:gd name="T11" fmla="*/ 0 h 163"/>
                <a:gd name="T12" fmla="*/ 0 w 179"/>
                <a:gd name="T13" fmla="*/ 0 h 163"/>
                <a:gd name="T14" fmla="*/ 0 w 179"/>
                <a:gd name="T15" fmla="*/ 0 h 163"/>
                <a:gd name="T16" fmla="*/ 0 w 179"/>
                <a:gd name="T17" fmla="*/ 0 h 16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79"/>
                <a:gd name="T28" fmla="*/ 0 h 163"/>
                <a:gd name="T29" fmla="*/ 179 w 179"/>
                <a:gd name="T30" fmla="*/ 163 h 16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79" h="163">
                  <a:moveTo>
                    <a:pt x="0" y="21"/>
                  </a:moveTo>
                  <a:lnTo>
                    <a:pt x="23" y="0"/>
                  </a:lnTo>
                  <a:lnTo>
                    <a:pt x="157" y="0"/>
                  </a:lnTo>
                  <a:lnTo>
                    <a:pt x="179" y="21"/>
                  </a:lnTo>
                  <a:lnTo>
                    <a:pt x="179" y="142"/>
                  </a:lnTo>
                  <a:lnTo>
                    <a:pt x="157" y="163"/>
                  </a:lnTo>
                  <a:lnTo>
                    <a:pt x="23" y="163"/>
                  </a:lnTo>
                  <a:lnTo>
                    <a:pt x="0" y="142"/>
                  </a:lnTo>
                  <a:lnTo>
                    <a:pt x="0" y="21"/>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sp macro="" textlink="">
          <xdr:nvSpPr>
            <xdr:cNvPr id="200" name="Freeform 2351">
              <a:extLst>
                <a:ext uri="{FF2B5EF4-FFF2-40B4-BE49-F238E27FC236}">
                  <a16:creationId xmlns:a16="http://schemas.microsoft.com/office/drawing/2014/main" id="{00000000-0008-0000-0000-0000C8000000}"/>
                </a:ext>
              </a:extLst>
            </xdr:cNvPr>
            <xdr:cNvSpPr>
              <a:spLocks/>
            </xdr:cNvSpPr>
          </xdr:nvSpPr>
          <xdr:spPr bwMode="auto">
            <a:xfrm>
              <a:off x="125" y="731"/>
              <a:ext cx="36" cy="1"/>
            </a:xfrm>
            <a:custGeom>
              <a:avLst/>
              <a:gdLst>
                <a:gd name="T0" fmla="*/ 0 w 179"/>
                <a:gd name="T1" fmla="*/ 0 h 1"/>
                <a:gd name="T2" fmla="*/ 0 w 179"/>
                <a:gd name="T3" fmla="*/ 0 h 1"/>
                <a:gd name="T4" fmla="*/ 0 w 179"/>
                <a:gd name="T5" fmla="*/ 0 h 1"/>
                <a:gd name="T6" fmla="*/ 0 60000 65536"/>
                <a:gd name="T7" fmla="*/ 0 60000 65536"/>
                <a:gd name="T8" fmla="*/ 0 60000 65536"/>
                <a:gd name="T9" fmla="*/ 0 w 179"/>
                <a:gd name="T10" fmla="*/ 0 h 1"/>
                <a:gd name="T11" fmla="*/ 179 w 179"/>
                <a:gd name="T12" fmla="*/ 1 h 1"/>
              </a:gdLst>
              <a:ahLst/>
              <a:cxnLst>
                <a:cxn ang="T6">
                  <a:pos x="T0" y="T1"/>
                </a:cxn>
                <a:cxn ang="T7">
                  <a:pos x="T2" y="T3"/>
                </a:cxn>
                <a:cxn ang="T8">
                  <a:pos x="T4" y="T5"/>
                </a:cxn>
              </a:cxnLst>
              <a:rect l="T9" t="T10" r="T11" b="T12"/>
              <a:pathLst>
                <a:path w="179" h="1">
                  <a:moveTo>
                    <a:pt x="0" y="0"/>
                  </a:moveTo>
                  <a:lnTo>
                    <a:pt x="179" y="0"/>
                  </a:lnTo>
                  <a:lnTo>
                    <a:pt x="0" y="0"/>
                  </a:lnTo>
                  <a:close/>
                </a:path>
              </a:pathLst>
            </a:custGeom>
            <a:noFill/>
            <a:ln w="9525" cap="flat" cmpd="sng">
              <a:solidFill>
                <a:srgbClr val="000000"/>
              </a:solidFill>
              <a:prstDash val="solid"/>
              <a:round/>
              <a:headEnd/>
              <a:tailEnd/>
            </a:ln>
            <a:extLst>
              <a:ext uri="{909E8E84-426E-40dd-AFC4-6F175D3DCCD1}">
                <a14:hiddenFill xmlns:a14="http://schemas.microsoft.com/office/drawing/2010/main" xmlns="">
                  <a:solidFill>
                    <a:srgbClr val="FFFFFF"/>
                  </a:solidFill>
                </a14:hiddenFill>
              </a:ext>
            </a:extLst>
          </xdr:spPr>
        </xdr:sp>
        <xdr:sp macro="" textlink="">
          <xdr:nvSpPr>
            <xdr:cNvPr id="201" name="Freeform 2352">
              <a:extLst>
                <a:ext uri="{FF2B5EF4-FFF2-40B4-BE49-F238E27FC236}">
                  <a16:creationId xmlns:a16="http://schemas.microsoft.com/office/drawing/2014/main" id="{00000000-0008-0000-0000-0000C9000000}"/>
                </a:ext>
              </a:extLst>
            </xdr:cNvPr>
            <xdr:cNvSpPr>
              <a:spLocks/>
            </xdr:cNvSpPr>
          </xdr:nvSpPr>
          <xdr:spPr bwMode="auto">
            <a:xfrm>
              <a:off x="125" y="748"/>
              <a:ext cx="36" cy="1"/>
            </a:xfrm>
            <a:custGeom>
              <a:avLst/>
              <a:gdLst>
                <a:gd name="T0" fmla="*/ 0 w 179"/>
                <a:gd name="T1" fmla="*/ 0 h 1"/>
                <a:gd name="T2" fmla="*/ 0 w 179"/>
                <a:gd name="T3" fmla="*/ 0 h 1"/>
                <a:gd name="T4" fmla="*/ 0 w 179"/>
                <a:gd name="T5" fmla="*/ 0 h 1"/>
                <a:gd name="T6" fmla="*/ 0 60000 65536"/>
                <a:gd name="T7" fmla="*/ 0 60000 65536"/>
                <a:gd name="T8" fmla="*/ 0 60000 65536"/>
                <a:gd name="T9" fmla="*/ 0 w 179"/>
                <a:gd name="T10" fmla="*/ 0 h 1"/>
                <a:gd name="T11" fmla="*/ 179 w 179"/>
                <a:gd name="T12" fmla="*/ 1 h 1"/>
              </a:gdLst>
              <a:ahLst/>
              <a:cxnLst>
                <a:cxn ang="T6">
                  <a:pos x="T0" y="T1"/>
                </a:cxn>
                <a:cxn ang="T7">
                  <a:pos x="T2" y="T3"/>
                </a:cxn>
                <a:cxn ang="T8">
                  <a:pos x="T4" y="T5"/>
                </a:cxn>
              </a:cxnLst>
              <a:rect l="T9" t="T10" r="T11" b="T12"/>
              <a:pathLst>
                <a:path w="179" h="1">
                  <a:moveTo>
                    <a:pt x="0" y="0"/>
                  </a:moveTo>
                  <a:lnTo>
                    <a:pt x="179" y="0"/>
                  </a:lnTo>
                  <a:lnTo>
                    <a:pt x="0" y="0"/>
                  </a:lnTo>
                  <a:close/>
                </a:path>
              </a:pathLst>
            </a:custGeom>
            <a:noFill/>
            <a:ln w="9525" cap="flat" cmpd="sng">
              <a:solidFill>
                <a:srgbClr val="000000"/>
              </a:solidFill>
              <a:prstDash val="solid"/>
              <a:round/>
              <a:headEnd/>
              <a:tailEnd/>
            </a:ln>
            <a:extLst>
              <a:ext uri="{909E8E84-426E-40dd-AFC4-6F175D3DCCD1}">
                <a14:hiddenFill xmlns:a14="http://schemas.microsoft.com/office/drawing/2010/main" xmlns="">
                  <a:solidFill>
                    <a:srgbClr val="FFFFFF"/>
                  </a:solidFill>
                </a14:hiddenFill>
              </a:ext>
            </a:extLst>
          </xdr:spPr>
        </xdr:sp>
      </xdr:grpSp>
      <xdr:sp macro="" textlink="">
        <xdr:nvSpPr>
          <xdr:cNvPr id="198" name="Freeform 127989">
            <a:extLst>
              <a:ext uri="{FF2B5EF4-FFF2-40B4-BE49-F238E27FC236}">
                <a16:creationId xmlns:a16="http://schemas.microsoft.com/office/drawing/2014/main" id="{00000000-0008-0000-0000-0000C6000000}"/>
              </a:ext>
            </a:extLst>
          </xdr:cNvPr>
          <xdr:cNvSpPr>
            <a:spLocks/>
          </xdr:cNvSpPr>
        </xdr:nvSpPr>
        <xdr:spPr bwMode="auto">
          <a:xfrm>
            <a:off x="411" y="1573"/>
            <a:ext cx="37" cy="8"/>
          </a:xfrm>
          <a:custGeom>
            <a:avLst/>
            <a:gdLst>
              <a:gd name="T0" fmla="*/ 0 w 167"/>
              <a:gd name="T1" fmla="*/ 0 h 20"/>
              <a:gd name="T2" fmla="*/ 0 w 167"/>
              <a:gd name="T3" fmla="*/ 0 h 20"/>
              <a:gd name="T4" fmla="*/ 0 w 167"/>
              <a:gd name="T5" fmla="*/ 0 h 20"/>
              <a:gd name="T6" fmla="*/ 0 w 167"/>
              <a:gd name="T7" fmla="*/ 0 h 20"/>
              <a:gd name="T8" fmla="*/ 0 w 167"/>
              <a:gd name="T9" fmla="*/ 0 h 20"/>
              <a:gd name="T10" fmla="*/ 0 w 167"/>
              <a:gd name="T11" fmla="*/ 0 h 20"/>
              <a:gd name="T12" fmla="*/ 0 w 167"/>
              <a:gd name="T13" fmla="*/ 0 h 20"/>
              <a:gd name="T14" fmla="*/ 0 w 167"/>
              <a:gd name="T15" fmla="*/ 0 h 20"/>
              <a:gd name="T16" fmla="*/ 0 w 167"/>
              <a:gd name="T17" fmla="*/ 0 h 20"/>
              <a:gd name="T18" fmla="*/ 0 w 167"/>
              <a:gd name="T19" fmla="*/ 0 h 20"/>
              <a:gd name="T20" fmla="*/ 0 w 167"/>
              <a:gd name="T21" fmla="*/ 0 h 20"/>
              <a:gd name="T22" fmla="*/ 0 w 167"/>
              <a:gd name="T23" fmla="*/ 0 h 20"/>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67"/>
              <a:gd name="T37" fmla="*/ 0 h 20"/>
              <a:gd name="T38" fmla="*/ 167 w 167"/>
              <a:gd name="T39" fmla="*/ 20 h 20"/>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67" h="20">
                <a:moveTo>
                  <a:pt x="0" y="19"/>
                </a:moveTo>
                <a:lnTo>
                  <a:pt x="18" y="0"/>
                </a:lnTo>
                <a:lnTo>
                  <a:pt x="34" y="19"/>
                </a:lnTo>
                <a:lnTo>
                  <a:pt x="53" y="1"/>
                </a:lnTo>
                <a:lnTo>
                  <a:pt x="69" y="19"/>
                </a:lnTo>
                <a:lnTo>
                  <a:pt x="83" y="0"/>
                </a:lnTo>
                <a:lnTo>
                  <a:pt x="95" y="17"/>
                </a:lnTo>
                <a:lnTo>
                  <a:pt x="108" y="0"/>
                </a:lnTo>
                <a:lnTo>
                  <a:pt x="122" y="19"/>
                </a:lnTo>
                <a:lnTo>
                  <a:pt x="136" y="1"/>
                </a:lnTo>
                <a:lnTo>
                  <a:pt x="151" y="20"/>
                </a:lnTo>
                <a:lnTo>
                  <a:pt x="167" y="3"/>
                </a:lnTo>
              </a:path>
            </a:pathLst>
          </a:custGeom>
          <a:noFill/>
          <a:ln w="9525">
            <a:solidFill>
              <a:srgbClr val="000000"/>
            </a:solidFill>
            <a:round/>
            <a:headEnd/>
            <a:tailEnd/>
          </a:ln>
          <a:extLst>
            <a:ext uri="{909E8E84-426E-40dd-AFC4-6F175D3DCCD1}">
              <a14:hiddenFill xmlns:a14="http://schemas.microsoft.com/office/drawing/2010/main" xmlns="">
                <a:solidFill>
                  <a:srgbClr val="FFFFFF"/>
                </a:solidFill>
              </a14:hiddenFill>
            </a:ext>
          </a:extLst>
        </xdr:spPr>
      </xdr:sp>
    </xdr:grpSp>
    <xdr:clientData/>
  </xdr:twoCellAnchor>
  <xdr:twoCellAnchor>
    <xdr:from>
      <xdr:col>1</xdr:col>
      <xdr:colOff>570204</xdr:colOff>
      <xdr:row>82</xdr:row>
      <xdr:rowOff>295275</xdr:rowOff>
    </xdr:from>
    <xdr:to>
      <xdr:col>1</xdr:col>
      <xdr:colOff>836904</xdr:colOff>
      <xdr:row>83</xdr:row>
      <xdr:rowOff>238125</xdr:rowOff>
    </xdr:to>
    <xdr:sp macro="" textlink="">
      <xdr:nvSpPr>
        <xdr:cNvPr id="202" name="AutoShape 454">
          <a:extLst>
            <a:ext uri="{FF2B5EF4-FFF2-40B4-BE49-F238E27FC236}">
              <a16:creationId xmlns:a16="http://schemas.microsoft.com/office/drawing/2014/main" id="{00000000-0008-0000-0000-0000CA000000}"/>
            </a:ext>
          </a:extLst>
        </xdr:cNvPr>
        <xdr:cNvSpPr>
          <a:spLocks noChangeArrowheads="1"/>
        </xdr:cNvSpPr>
      </xdr:nvSpPr>
      <xdr:spPr bwMode="auto">
        <a:xfrm rot="5400000">
          <a:off x="1195679" y="25761950"/>
          <a:ext cx="247650" cy="266700"/>
        </a:xfrm>
        <a:prstGeom prst="flowChartDelay">
          <a:avLst/>
        </a:prstGeom>
        <a:gradFill rotWithShape="1">
          <a:gsLst>
            <a:gs pos="0">
              <a:srgbClr val="C0C0C0"/>
            </a:gs>
            <a:gs pos="100000">
              <a:srgbClr val="595959"/>
            </a:gs>
          </a:gsLst>
          <a:lin ang="5400000" scaled="1"/>
        </a:gradFill>
        <a:ln w="9525">
          <a:solidFill>
            <a:srgbClr val="000000"/>
          </a:solidFill>
          <a:miter lim="800000"/>
          <a:headEnd/>
          <a:tailEnd/>
        </a:ln>
      </xdr:spPr>
    </xdr:sp>
    <xdr:clientData/>
  </xdr:twoCellAnchor>
  <xdr:twoCellAnchor>
    <xdr:from>
      <xdr:col>1</xdr:col>
      <xdr:colOff>550636</xdr:colOff>
      <xdr:row>7</xdr:row>
      <xdr:rowOff>0</xdr:rowOff>
    </xdr:from>
    <xdr:to>
      <xdr:col>1</xdr:col>
      <xdr:colOff>826861</xdr:colOff>
      <xdr:row>7</xdr:row>
      <xdr:rowOff>352425</xdr:rowOff>
    </xdr:to>
    <xdr:grpSp>
      <xdr:nvGrpSpPr>
        <xdr:cNvPr id="203" name="Group 751">
          <a:extLst>
            <a:ext uri="{FF2B5EF4-FFF2-40B4-BE49-F238E27FC236}">
              <a16:creationId xmlns:a16="http://schemas.microsoft.com/office/drawing/2014/main" id="{00000000-0008-0000-0000-0000CB000000}"/>
            </a:ext>
          </a:extLst>
        </xdr:cNvPr>
        <xdr:cNvGrpSpPr>
          <a:grpSpLocks/>
        </xdr:cNvGrpSpPr>
      </xdr:nvGrpSpPr>
      <xdr:grpSpPr bwMode="auto">
        <a:xfrm>
          <a:off x="1149350" y="2471057"/>
          <a:ext cx="276225" cy="352425"/>
          <a:chOff x="6353175" y="1497075"/>
          <a:chExt cx="3514725" cy="2806835"/>
        </a:xfrm>
      </xdr:grpSpPr>
      <xdr:sp macro="" textlink="">
        <xdr:nvSpPr>
          <xdr:cNvPr id="204" name="Rectangle 6">
            <a:extLst>
              <a:ext uri="{FF2B5EF4-FFF2-40B4-BE49-F238E27FC236}">
                <a16:creationId xmlns:a16="http://schemas.microsoft.com/office/drawing/2014/main" id="{00000000-0008-0000-0000-0000CC000000}"/>
              </a:ext>
            </a:extLst>
          </xdr:cNvPr>
          <xdr:cNvSpPr>
            <a:spLocks noChangeArrowheads="1"/>
          </xdr:cNvSpPr>
        </xdr:nvSpPr>
        <xdr:spPr bwMode="auto">
          <a:xfrm>
            <a:off x="6959162" y="2634981"/>
            <a:ext cx="2302751" cy="1289627"/>
          </a:xfrm>
          <a:prstGeom prst="rect">
            <a:avLst/>
          </a:prstGeom>
          <a:gradFill flip="none" rotWithShape="1">
            <a:gsLst>
              <a:gs pos="11000">
                <a:srgbClr val="EBDAD4"/>
              </a:gs>
              <a:gs pos="33000">
                <a:srgbClr val="C00000"/>
              </a:gs>
            </a:gsLst>
            <a:path path="circle">
              <a:fillToRect l="100000" t="100000"/>
            </a:path>
            <a:tileRect r="-100000" b="-100000"/>
          </a:gradFill>
          <a:ln w="9525">
            <a:solidFill>
              <a:srgbClr val="000000"/>
            </a:solidFill>
            <a:miter lim="800000"/>
            <a:headEnd/>
            <a:tailEnd/>
          </a:ln>
        </xdr:spPr>
        <xdr:txBody>
          <a:bodyPr/>
          <a:lstStyle/>
          <a:p>
            <a:endParaRPr lang="en-US"/>
          </a:p>
        </xdr:txBody>
      </xdr:sp>
      <xdr:grpSp>
        <xdr:nvGrpSpPr>
          <xdr:cNvPr id="205" name="Group 762">
            <a:extLst>
              <a:ext uri="{FF2B5EF4-FFF2-40B4-BE49-F238E27FC236}">
                <a16:creationId xmlns:a16="http://schemas.microsoft.com/office/drawing/2014/main" id="{00000000-0008-0000-0000-0000CD000000}"/>
              </a:ext>
            </a:extLst>
          </xdr:cNvPr>
          <xdr:cNvGrpSpPr>
            <a:grpSpLocks/>
          </xdr:cNvGrpSpPr>
        </xdr:nvGrpSpPr>
        <xdr:grpSpPr bwMode="auto">
          <a:xfrm>
            <a:off x="6353175" y="1497075"/>
            <a:ext cx="3514725" cy="2806835"/>
            <a:chOff x="6353175" y="1497075"/>
            <a:chExt cx="3514725" cy="2806835"/>
          </a:xfrm>
        </xdr:grpSpPr>
        <xdr:grpSp>
          <xdr:nvGrpSpPr>
            <xdr:cNvPr id="206" name="Group 8">
              <a:extLst>
                <a:ext uri="{FF2B5EF4-FFF2-40B4-BE49-F238E27FC236}">
                  <a16:creationId xmlns:a16="http://schemas.microsoft.com/office/drawing/2014/main" id="{00000000-0008-0000-0000-0000CE000000}"/>
                </a:ext>
              </a:extLst>
            </xdr:cNvPr>
            <xdr:cNvGrpSpPr>
              <a:grpSpLocks/>
            </xdr:cNvGrpSpPr>
          </xdr:nvGrpSpPr>
          <xdr:grpSpPr bwMode="auto">
            <a:xfrm>
              <a:off x="6353175" y="1497075"/>
              <a:ext cx="3514725" cy="531023"/>
              <a:chOff x="64" y="9"/>
              <a:chExt cx="35" cy="24"/>
            </a:xfrm>
            <a:gradFill flip="none" rotWithShape="1">
              <a:gsLst>
                <a:gs pos="11000">
                  <a:srgbClr val="EBDAD4"/>
                </a:gs>
                <a:gs pos="33000">
                  <a:srgbClr val="C00000"/>
                </a:gs>
              </a:gsLst>
              <a:path path="circle">
                <a:fillToRect l="100000" t="100000"/>
              </a:path>
              <a:tileRect r="-100000" b="-100000"/>
            </a:gradFill>
          </xdr:grpSpPr>
          <xdr:sp macro="" textlink="">
            <xdr:nvSpPr>
              <xdr:cNvPr id="213" name="Rectangle 9">
                <a:extLst>
                  <a:ext uri="{FF2B5EF4-FFF2-40B4-BE49-F238E27FC236}">
                    <a16:creationId xmlns:a16="http://schemas.microsoft.com/office/drawing/2014/main" id="{00000000-0008-0000-0000-0000D5000000}"/>
                  </a:ext>
                </a:extLst>
              </xdr:cNvPr>
              <xdr:cNvSpPr>
                <a:spLocks noChangeArrowheads="1"/>
              </xdr:cNvSpPr>
            </xdr:nvSpPr>
            <xdr:spPr bwMode="auto">
              <a:xfrm>
                <a:off x="64" y="9"/>
                <a:ext cx="35" cy="3"/>
              </a:xfrm>
              <a:prstGeom prst="rect">
                <a:avLst/>
              </a:prstGeom>
              <a:grpFill/>
              <a:ln w="9525">
                <a:solidFill>
                  <a:srgbClr val="000000"/>
                </a:solidFill>
                <a:miter lim="800000"/>
                <a:headEnd/>
                <a:tailEnd/>
              </a:ln>
            </xdr:spPr>
            <xdr:txBody>
              <a:bodyPr/>
              <a:lstStyle/>
              <a:p>
                <a:endParaRPr lang="en-US"/>
              </a:p>
            </xdr:txBody>
          </xdr:sp>
          <xdr:sp macro="" textlink="">
            <xdr:nvSpPr>
              <xdr:cNvPr id="214" name="Rectangle 10">
                <a:extLst>
                  <a:ext uri="{FF2B5EF4-FFF2-40B4-BE49-F238E27FC236}">
                    <a16:creationId xmlns:a16="http://schemas.microsoft.com/office/drawing/2014/main" id="{00000000-0008-0000-0000-0000D6000000}"/>
                  </a:ext>
                </a:extLst>
              </xdr:cNvPr>
              <xdr:cNvSpPr>
                <a:spLocks noChangeArrowheads="1"/>
              </xdr:cNvSpPr>
            </xdr:nvSpPr>
            <xdr:spPr bwMode="auto">
              <a:xfrm>
                <a:off x="64" y="16"/>
                <a:ext cx="35" cy="3"/>
              </a:xfrm>
              <a:prstGeom prst="rect">
                <a:avLst/>
              </a:prstGeom>
              <a:grpFill/>
              <a:ln w="9525">
                <a:solidFill>
                  <a:srgbClr val="000000"/>
                </a:solidFill>
                <a:miter lim="800000"/>
                <a:headEnd/>
                <a:tailEnd/>
              </a:ln>
            </xdr:spPr>
            <xdr:txBody>
              <a:bodyPr/>
              <a:lstStyle/>
              <a:p>
                <a:endParaRPr lang="en-US"/>
              </a:p>
            </xdr:txBody>
          </xdr:sp>
          <xdr:sp macro="" textlink="">
            <xdr:nvSpPr>
              <xdr:cNvPr id="215" name="Rectangle 11">
                <a:extLst>
                  <a:ext uri="{FF2B5EF4-FFF2-40B4-BE49-F238E27FC236}">
                    <a16:creationId xmlns:a16="http://schemas.microsoft.com/office/drawing/2014/main" id="{00000000-0008-0000-0000-0000D7000000}"/>
                  </a:ext>
                </a:extLst>
              </xdr:cNvPr>
              <xdr:cNvSpPr>
                <a:spLocks noChangeArrowheads="1"/>
              </xdr:cNvSpPr>
            </xdr:nvSpPr>
            <xdr:spPr bwMode="auto">
              <a:xfrm>
                <a:off x="64" y="23"/>
                <a:ext cx="35" cy="3"/>
              </a:xfrm>
              <a:prstGeom prst="rect">
                <a:avLst/>
              </a:prstGeom>
              <a:grpFill/>
              <a:ln w="9525">
                <a:solidFill>
                  <a:srgbClr val="000000"/>
                </a:solidFill>
                <a:miter lim="800000"/>
                <a:headEnd/>
                <a:tailEnd/>
              </a:ln>
            </xdr:spPr>
            <xdr:txBody>
              <a:bodyPr/>
              <a:lstStyle/>
              <a:p>
                <a:endParaRPr lang="en-US"/>
              </a:p>
            </xdr:txBody>
          </xdr:sp>
          <xdr:sp macro="" textlink="">
            <xdr:nvSpPr>
              <xdr:cNvPr id="216" name="Rectangle 12">
                <a:extLst>
                  <a:ext uri="{FF2B5EF4-FFF2-40B4-BE49-F238E27FC236}">
                    <a16:creationId xmlns:a16="http://schemas.microsoft.com/office/drawing/2014/main" id="{00000000-0008-0000-0000-0000D8000000}"/>
                  </a:ext>
                </a:extLst>
              </xdr:cNvPr>
              <xdr:cNvSpPr>
                <a:spLocks noChangeArrowheads="1"/>
              </xdr:cNvSpPr>
            </xdr:nvSpPr>
            <xdr:spPr bwMode="auto">
              <a:xfrm>
                <a:off x="64" y="36"/>
                <a:ext cx="35" cy="0"/>
              </a:xfrm>
              <a:prstGeom prst="rect">
                <a:avLst/>
              </a:prstGeom>
              <a:grpFill/>
              <a:ln w="9525">
                <a:solidFill>
                  <a:srgbClr val="000000"/>
                </a:solidFill>
                <a:miter lim="800000"/>
                <a:headEnd/>
                <a:tailEnd/>
              </a:ln>
            </xdr:spPr>
            <xdr:txBody>
              <a:bodyPr/>
              <a:lstStyle/>
              <a:p>
                <a:endParaRPr lang="en-US"/>
              </a:p>
            </xdr:txBody>
          </xdr:sp>
          <xdr:sp macro="" textlink="">
            <xdr:nvSpPr>
              <xdr:cNvPr id="217" name="Rectangle 13">
                <a:extLst>
                  <a:ext uri="{FF2B5EF4-FFF2-40B4-BE49-F238E27FC236}">
                    <a16:creationId xmlns:a16="http://schemas.microsoft.com/office/drawing/2014/main" id="{00000000-0008-0000-0000-0000D9000000}"/>
                  </a:ext>
                </a:extLst>
              </xdr:cNvPr>
              <xdr:cNvSpPr>
                <a:spLocks noChangeArrowheads="1"/>
              </xdr:cNvSpPr>
            </xdr:nvSpPr>
            <xdr:spPr bwMode="auto">
              <a:xfrm>
                <a:off x="66" y="12"/>
                <a:ext cx="28" cy="3"/>
              </a:xfrm>
              <a:prstGeom prst="rect">
                <a:avLst/>
              </a:prstGeom>
              <a:grpFill/>
              <a:ln w="9525">
                <a:solidFill>
                  <a:srgbClr val="000000"/>
                </a:solidFill>
                <a:miter lim="800000"/>
                <a:headEnd/>
                <a:tailEnd/>
              </a:ln>
            </xdr:spPr>
            <xdr:txBody>
              <a:bodyPr/>
              <a:lstStyle/>
              <a:p>
                <a:endParaRPr lang="en-US"/>
              </a:p>
            </xdr:txBody>
          </xdr:sp>
          <xdr:sp macro="" textlink="">
            <xdr:nvSpPr>
              <xdr:cNvPr id="218" name="Rectangle 14">
                <a:extLst>
                  <a:ext uri="{FF2B5EF4-FFF2-40B4-BE49-F238E27FC236}">
                    <a16:creationId xmlns:a16="http://schemas.microsoft.com/office/drawing/2014/main" id="{00000000-0008-0000-0000-0000DA000000}"/>
                  </a:ext>
                </a:extLst>
              </xdr:cNvPr>
              <xdr:cNvSpPr>
                <a:spLocks noChangeArrowheads="1"/>
              </xdr:cNvSpPr>
            </xdr:nvSpPr>
            <xdr:spPr bwMode="auto">
              <a:xfrm>
                <a:off x="66" y="36"/>
                <a:ext cx="28" cy="3"/>
              </a:xfrm>
              <a:prstGeom prst="rect">
                <a:avLst/>
              </a:prstGeom>
              <a:grpFill/>
              <a:ln w="9525">
                <a:solidFill>
                  <a:srgbClr val="000000"/>
                </a:solidFill>
                <a:miter lim="800000"/>
                <a:headEnd/>
                <a:tailEnd/>
              </a:ln>
            </xdr:spPr>
            <xdr:txBody>
              <a:bodyPr/>
              <a:lstStyle/>
              <a:p>
                <a:endParaRPr lang="en-US"/>
              </a:p>
            </xdr:txBody>
          </xdr:sp>
          <xdr:sp macro="" textlink="">
            <xdr:nvSpPr>
              <xdr:cNvPr id="219" name="Rectangle 15">
                <a:extLst>
                  <a:ext uri="{FF2B5EF4-FFF2-40B4-BE49-F238E27FC236}">
                    <a16:creationId xmlns:a16="http://schemas.microsoft.com/office/drawing/2014/main" id="{00000000-0008-0000-0000-0000DB000000}"/>
                  </a:ext>
                </a:extLst>
              </xdr:cNvPr>
              <xdr:cNvSpPr>
                <a:spLocks noChangeArrowheads="1"/>
              </xdr:cNvSpPr>
            </xdr:nvSpPr>
            <xdr:spPr bwMode="auto">
              <a:xfrm>
                <a:off x="66" y="26"/>
                <a:ext cx="28" cy="3"/>
              </a:xfrm>
              <a:prstGeom prst="rect">
                <a:avLst/>
              </a:prstGeom>
              <a:grpFill/>
              <a:ln w="9525">
                <a:solidFill>
                  <a:srgbClr val="000000"/>
                </a:solidFill>
                <a:miter lim="800000"/>
                <a:headEnd/>
                <a:tailEnd/>
              </a:ln>
            </xdr:spPr>
            <xdr:txBody>
              <a:bodyPr/>
              <a:lstStyle/>
              <a:p>
                <a:endParaRPr lang="en-US"/>
              </a:p>
            </xdr:txBody>
          </xdr:sp>
          <xdr:sp macro="" textlink="">
            <xdr:nvSpPr>
              <xdr:cNvPr id="220" name="Rectangle 16">
                <a:extLst>
                  <a:ext uri="{FF2B5EF4-FFF2-40B4-BE49-F238E27FC236}">
                    <a16:creationId xmlns:a16="http://schemas.microsoft.com/office/drawing/2014/main" id="{00000000-0008-0000-0000-0000DC000000}"/>
                  </a:ext>
                </a:extLst>
              </xdr:cNvPr>
              <xdr:cNvSpPr>
                <a:spLocks noChangeArrowheads="1"/>
              </xdr:cNvSpPr>
            </xdr:nvSpPr>
            <xdr:spPr bwMode="auto">
              <a:xfrm>
                <a:off x="66" y="19"/>
                <a:ext cx="28" cy="3"/>
              </a:xfrm>
              <a:prstGeom prst="rect">
                <a:avLst/>
              </a:prstGeom>
              <a:grpFill/>
              <a:ln w="9525">
                <a:solidFill>
                  <a:srgbClr val="000000"/>
                </a:solidFill>
                <a:miter lim="800000"/>
                <a:headEnd/>
                <a:tailEnd/>
              </a:ln>
            </xdr:spPr>
            <xdr:txBody>
              <a:bodyPr/>
              <a:lstStyle/>
              <a:p>
                <a:endParaRPr lang="en-US"/>
              </a:p>
            </xdr:txBody>
          </xdr:sp>
        </xdr:grpSp>
        <xdr:sp macro="" textlink="">
          <xdr:nvSpPr>
            <xdr:cNvPr id="207" name="Freeform 17">
              <a:extLst>
                <a:ext uri="{FF2B5EF4-FFF2-40B4-BE49-F238E27FC236}">
                  <a16:creationId xmlns:a16="http://schemas.microsoft.com/office/drawing/2014/main" id="{00000000-0008-0000-0000-0000CF000000}"/>
                </a:ext>
              </a:extLst>
            </xdr:cNvPr>
            <xdr:cNvSpPr>
              <a:spLocks/>
            </xdr:cNvSpPr>
          </xdr:nvSpPr>
          <xdr:spPr bwMode="auto">
            <a:xfrm rot="10800000">
              <a:off x="6353175" y="2255679"/>
              <a:ext cx="3272330" cy="75860"/>
            </a:xfrm>
            <a:custGeom>
              <a:avLst/>
              <a:gdLst>
                <a:gd name="T0" fmla="*/ 0 w 51"/>
                <a:gd name="T1" fmla="*/ 1 h 3"/>
                <a:gd name="T2" fmla="*/ 0 w 51"/>
                <a:gd name="T3" fmla="*/ 0 h 3"/>
                <a:gd name="T4" fmla="*/ 0 w 51"/>
                <a:gd name="T5" fmla="*/ 0 h 3"/>
                <a:gd name="T6" fmla="*/ 0 w 51"/>
                <a:gd name="T7" fmla="*/ 1 h 3"/>
                <a:gd name="T8" fmla="*/ 0 w 51"/>
                <a:gd name="T9" fmla="*/ 1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flip="none" rotWithShape="1">
              <a:gsLst>
                <a:gs pos="11000">
                  <a:srgbClr val="EBDAD4"/>
                </a:gs>
                <a:gs pos="33000">
                  <a:srgbClr val="C00000"/>
                </a:gs>
              </a:gsLst>
              <a:path path="circle">
                <a:fillToRect l="100000" t="100000"/>
              </a:path>
              <a:tileRect r="-100000" b="-100000"/>
            </a:gradFill>
            <a:ln w="9525" cap="flat" cmpd="sng">
              <a:solidFill>
                <a:srgbClr val="000000"/>
              </a:solidFill>
              <a:prstDash val="solid"/>
              <a:round/>
              <a:headEnd/>
              <a:tailEnd/>
            </a:ln>
          </xdr:spPr>
          <xdr:txBody>
            <a:bodyPr/>
            <a:lstStyle/>
            <a:p>
              <a:endParaRPr lang="en-US"/>
            </a:p>
          </xdr:txBody>
        </xdr:sp>
        <xdr:grpSp>
          <xdr:nvGrpSpPr>
            <xdr:cNvPr id="208" name="Group 19">
              <a:extLst>
                <a:ext uri="{FF2B5EF4-FFF2-40B4-BE49-F238E27FC236}">
                  <a16:creationId xmlns:a16="http://schemas.microsoft.com/office/drawing/2014/main" id="{00000000-0008-0000-0000-0000D0000000}"/>
                </a:ext>
              </a:extLst>
            </xdr:cNvPr>
            <xdr:cNvGrpSpPr>
              <a:grpSpLocks/>
            </xdr:cNvGrpSpPr>
          </xdr:nvGrpSpPr>
          <xdr:grpSpPr bwMode="auto">
            <a:xfrm>
              <a:off x="6474372" y="2255679"/>
              <a:ext cx="3272330" cy="379302"/>
              <a:chOff x="70" y="41"/>
              <a:chExt cx="23" cy="8"/>
            </a:xfrm>
            <a:gradFill flip="none" rotWithShape="1">
              <a:gsLst>
                <a:gs pos="11000">
                  <a:srgbClr val="EBDAD4"/>
                </a:gs>
                <a:gs pos="33000">
                  <a:srgbClr val="C00000"/>
                </a:gs>
              </a:gsLst>
              <a:path path="circle">
                <a:fillToRect l="100000" t="100000"/>
              </a:path>
              <a:tileRect r="-100000" b="-100000"/>
            </a:gradFill>
          </xdr:grpSpPr>
          <xdr:sp macro="" textlink="">
            <xdr:nvSpPr>
              <xdr:cNvPr id="211" name="Rectangle 20">
                <a:extLst>
                  <a:ext uri="{FF2B5EF4-FFF2-40B4-BE49-F238E27FC236}">
                    <a16:creationId xmlns:a16="http://schemas.microsoft.com/office/drawing/2014/main" id="{00000000-0008-0000-0000-0000D3000000}"/>
                  </a:ext>
                </a:extLst>
              </xdr:cNvPr>
              <xdr:cNvSpPr>
                <a:spLocks noChangeArrowheads="1"/>
              </xdr:cNvSpPr>
            </xdr:nvSpPr>
            <xdr:spPr bwMode="auto">
              <a:xfrm>
                <a:off x="70" y="43"/>
                <a:ext cx="23" cy="5"/>
              </a:xfrm>
              <a:prstGeom prst="rect">
                <a:avLst/>
              </a:prstGeom>
              <a:grpFill/>
              <a:ln w="9525">
                <a:solidFill>
                  <a:srgbClr val="000000"/>
                </a:solidFill>
                <a:miter lim="800000"/>
                <a:headEnd/>
                <a:tailEnd/>
              </a:ln>
            </xdr:spPr>
            <xdr:txBody>
              <a:bodyPr/>
              <a:lstStyle/>
              <a:p>
                <a:endParaRPr lang="en-US"/>
              </a:p>
            </xdr:txBody>
          </xdr:sp>
          <xdr:sp macro="" textlink="">
            <xdr:nvSpPr>
              <xdr:cNvPr id="212" name="Freeform 21">
                <a:extLst>
                  <a:ext uri="{FF2B5EF4-FFF2-40B4-BE49-F238E27FC236}">
                    <a16:creationId xmlns:a16="http://schemas.microsoft.com/office/drawing/2014/main" id="{00000000-0008-0000-0000-0000D4000000}"/>
                  </a:ext>
                </a:extLst>
              </xdr:cNvPr>
              <xdr:cNvSpPr>
                <a:spLocks/>
              </xdr:cNvSpPr>
            </xdr:nvSpPr>
            <xdr:spPr bwMode="auto">
              <a:xfrm rot="10800000">
                <a:off x="70" y="47"/>
                <a:ext cx="23" cy="3"/>
              </a:xfrm>
              <a:custGeom>
                <a:avLst/>
                <a:gdLst>
                  <a:gd name="T0" fmla="*/ 0 w 51"/>
                  <a:gd name="T1" fmla="*/ 3 h 3"/>
                  <a:gd name="T2" fmla="*/ 0 w 51"/>
                  <a:gd name="T3" fmla="*/ 0 h 3"/>
                  <a:gd name="T4" fmla="*/ 0 w 51"/>
                  <a:gd name="T5" fmla="*/ 0 h 3"/>
                  <a:gd name="T6" fmla="*/ 0 w 51"/>
                  <a:gd name="T7" fmla="*/ 3 h 3"/>
                  <a:gd name="T8" fmla="*/ 0 w 51"/>
                  <a:gd name="T9" fmla="*/ 3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pFill/>
              <a:ln w="9525" cap="flat" cmpd="sng">
                <a:solidFill>
                  <a:srgbClr val="000000"/>
                </a:solidFill>
                <a:prstDash val="solid"/>
                <a:round/>
                <a:headEnd/>
                <a:tailEnd/>
              </a:ln>
            </xdr:spPr>
            <xdr:txBody>
              <a:bodyPr/>
              <a:lstStyle/>
              <a:p>
                <a:endParaRPr lang="en-US"/>
              </a:p>
            </xdr:txBody>
          </xdr:sp>
        </xdr:grpSp>
        <xdr:sp macro="" textlink="">
          <xdr:nvSpPr>
            <xdr:cNvPr id="209" name="Rectangle 22">
              <a:extLst>
                <a:ext uri="{FF2B5EF4-FFF2-40B4-BE49-F238E27FC236}">
                  <a16:creationId xmlns:a16="http://schemas.microsoft.com/office/drawing/2014/main" id="{00000000-0008-0000-0000-0000D1000000}"/>
                </a:ext>
              </a:extLst>
            </xdr:cNvPr>
            <xdr:cNvSpPr>
              <a:spLocks noChangeArrowheads="1"/>
            </xdr:cNvSpPr>
          </xdr:nvSpPr>
          <xdr:spPr bwMode="auto">
            <a:xfrm rot="10800000">
              <a:off x="6474372" y="4000468"/>
              <a:ext cx="3272330" cy="303442"/>
            </a:xfrm>
            <a:prstGeom prst="rect">
              <a:avLst/>
            </a:prstGeom>
            <a:gradFill flip="none" rotWithShape="1">
              <a:gsLst>
                <a:gs pos="11000">
                  <a:srgbClr val="EBDAD4"/>
                </a:gs>
                <a:gs pos="33000">
                  <a:srgbClr val="C00000"/>
                </a:gs>
              </a:gsLst>
              <a:path path="circle">
                <a:fillToRect l="100000" t="100000"/>
              </a:path>
              <a:tileRect r="-100000" b="-100000"/>
            </a:gradFill>
            <a:ln w="9525">
              <a:solidFill>
                <a:srgbClr val="000000"/>
              </a:solidFill>
              <a:miter lim="800000"/>
              <a:headEnd/>
              <a:tailEnd/>
            </a:ln>
          </xdr:spPr>
          <xdr:txBody>
            <a:bodyPr/>
            <a:lstStyle/>
            <a:p>
              <a:endParaRPr lang="en-US"/>
            </a:p>
          </xdr:txBody>
        </xdr:sp>
        <xdr:sp macro="" textlink="">
          <xdr:nvSpPr>
            <xdr:cNvPr id="210" name="Freeform 23">
              <a:extLst>
                <a:ext uri="{FF2B5EF4-FFF2-40B4-BE49-F238E27FC236}">
                  <a16:creationId xmlns:a16="http://schemas.microsoft.com/office/drawing/2014/main" id="{00000000-0008-0000-0000-0000D2000000}"/>
                </a:ext>
              </a:extLst>
            </xdr:cNvPr>
            <xdr:cNvSpPr>
              <a:spLocks/>
            </xdr:cNvSpPr>
          </xdr:nvSpPr>
          <xdr:spPr bwMode="auto">
            <a:xfrm>
              <a:off x="6474372" y="3848748"/>
              <a:ext cx="3272330" cy="151721"/>
            </a:xfrm>
            <a:custGeom>
              <a:avLst/>
              <a:gdLst>
                <a:gd name="T0" fmla="*/ 0 w 51"/>
                <a:gd name="T1" fmla="*/ 1 h 3"/>
                <a:gd name="T2" fmla="*/ 0 w 51"/>
                <a:gd name="T3" fmla="*/ 0 h 3"/>
                <a:gd name="T4" fmla="*/ 0 w 51"/>
                <a:gd name="T5" fmla="*/ 0 h 3"/>
                <a:gd name="T6" fmla="*/ 0 w 51"/>
                <a:gd name="T7" fmla="*/ 1 h 3"/>
                <a:gd name="T8" fmla="*/ 0 w 51"/>
                <a:gd name="T9" fmla="*/ 1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flip="none" rotWithShape="1">
              <a:gsLst>
                <a:gs pos="11000">
                  <a:srgbClr val="EBDAD4"/>
                </a:gs>
                <a:gs pos="33000">
                  <a:srgbClr val="C00000"/>
                </a:gs>
              </a:gsLst>
              <a:path path="circle">
                <a:fillToRect l="100000" t="100000"/>
              </a:path>
              <a:tileRect r="-100000" b="-100000"/>
            </a:gradFill>
            <a:ln w="9525" cap="flat" cmpd="sng">
              <a:solidFill>
                <a:srgbClr val="000000"/>
              </a:solidFill>
              <a:prstDash val="solid"/>
              <a:round/>
              <a:headEnd/>
              <a:tailEnd/>
            </a:ln>
          </xdr:spPr>
          <xdr:txBody>
            <a:bodyPr/>
            <a:lstStyle/>
            <a:p>
              <a:endParaRPr lang="en-US"/>
            </a:p>
          </xdr:txBody>
        </xdr:sp>
      </xdr:grpSp>
    </xdr:grpSp>
    <xdr:clientData/>
  </xdr:twoCellAnchor>
  <xdr:twoCellAnchor>
    <xdr:from>
      <xdr:col>1</xdr:col>
      <xdr:colOff>159834</xdr:colOff>
      <xdr:row>7</xdr:row>
      <xdr:rowOff>374578</xdr:rowOff>
    </xdr:from>
    <xdr:to>
      <xdr:col>1</xdr:col>
      <xdr:colOff>1217109</xdr:colOff>
      <xdr:row>8</xdr:row>
      <xdr:rowOff>532223</xdr:rowOff>
    </xdr:to>
    <xdr:grpSp>
      <xdr:nvGrpSpPr>
        <xdr:cNvPr id="221" name="Group 24">
          <a:extLst>
            <a:ext uri="{FF2B5EF4-FFF2-40B4-BE49-F238E27FC236}">
              <a16:creationId xmlns:a16="http://schemas.microsoft.com/office/drawing/2014/main" id="{00000000-0008-0000-0000-0000DD000000}"/>
            </a:ext>
          </a:extLst>
        </xdr:cNvPr>
        <xdr:cNvGrpSpPr>
          <a:grpSpLocks/>
        </xdr:cNvGrpSpPr>
      </xdr:nvGrpSpPr>
      <xdr:grpSpPr bwMode="auto">
        <a:xfrm>
          <a:off x="758548" y="2845635"/>
          <a:ext cx="1057275" cy="538645"/>
          <a:chOff x="17" y="75"/>
          <a:chExt cx="131" cy="58"/>
        </a:xfrm>
      </xdr:grpSpPr>
      <xdr:sp macro="" textlink="">
        <xdr:nvSpPr>
          <xdr:cNvPr id="222" name="Freeform 25">
            <a:extLst>
              <a:ext uri="{FF2B5EF4-FFF2-40B4-BE49-F238E27FC236}">
                <a16:creationId xmlns:a16="http://schemas.microsoft.com/office/drawing/2014/main" id="{00000000-0008-0000-0000-0000DE000000}"/>
              </a:ext>
            </a:extLst>
          </xdr:cNvPr>
          <xdr:cNvSpPr>
            <a:spLocks/>
          </xdr:cNvSpPr>
        </xdr:nvSpPr>
        <xdr:spPr bwMode="auto">
          <a:xfrm>
            <a:off x="17" y="116"/>
            <a:ext cx="14" cy="3"/>
          </a:xfrm>
          <a:custGeom>
            <a:avLst/>
            <a:gdLst>
              <a:gd name="T0" fmla="*/ 0 w 51"/>
              <a:gd name="T1" fmla="*/ 3 h 3"/>
              <a:gd name="T2" fmla="*/ 0 w 51"/>
              <a:gd name="T3" fmla="*/ 0 h 3"/>
              <a:gd name="T4" fmla="*/ 0 w 51"/>
              <a:gd name="T5" fmla="*/ 0 h 3"/>
              <a:gd name="T6" fmla="*/ 0 w 51"/>
              <a:gd name="T7" fmla="*/ 3 h 3"/>
              <a:gd name="T8" fmla="*/ 0 w 51"/>
              <a:gd name="T9" fmla="*/ 3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nvGrpSpPr>
          <xdr:cNvPr id="223" name="Group 26">
            <a:extLst>
              <a:ext uri="{FF2B5EF4-FFF2-40B4-BE49-F238E27FC236}">
                <a16:creationId xmlns:a16="http://schemas.microsoft.com/office/drawing/2014/main" id="{00000000-0008-0000-0000-0000DF000000}"/>
              </a:ext>
            </a:extLst>
          </xdr:cNvPr>
          <xdr:cNvGrpSpPr>
            <a:grpSpLocks/>
          </xdr:cNvGrpSpPr>
        </xdr:nvGrpSpPr>
        <xdr:grpSpPr bwMode="auto">
          <a:xfrm>
            <a:off x="17" y="122"/>
            <a:ext cx="14" cy="5"/>
            <a:chOff x="17" y="145"/>
            <a:chExt cx="14" cy="8"/>
          </a:xfrm>
        </xdr:grpSpPr>
        <xdr:sp macro="" textlink="">
          <xdr:nvSpPr>
            <xdr:cNvPr id="245" name="Rectangle 27">
              <a:extLst>
                <a:ext uri="{FF2B5EF4-FFF2-40B4-BE49-F238E27FC236}">
                  <a16:creationId xmlns:a16="http://schemas.microsoft.com/office/drawing/2014/main" id="{00000000-0008-0000-0000-0000F5000000}"/>
                </a:ext>
              </a:extLst>
            </xdr:cNvPr>
            <xdr:cNvSpPr>
              <a:spLocks noChangeArrowheads="1"/>
            </xdr:cNvSpPr>
          </xdr:nvSpPr>
          <xdr:spPr bwMode="auto">
            <a:xfrm>
              <a:off x="17" y="145"/>
              <a:ext cx="14" cy="3"/>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6" name="Rectangle 28">
              <a:extLst>
                <a:ext uri="{FF2B5EF4-FFF2-40B4-BE49-F238E27FC236}">
                  <a16:creationId xmlns:a16="http://schemas.microsoft.com/office/drawing/2014/main" id="{00000000-0008-0000-0000-0000F6000000}"/>
                </a:ext>
              </a:extLst>
            </xdr:cNvPr>
            <xdr:cNvSpPr>
              <a:spLocks noChangeArrowheads="1"/>
            </xdr:cNvSpPr>
          </xdr:nvSpPr>
          <xdr:spPr bwMode="auto">
            <a:xfrm>
              <a:off x="17" y="148"/>
              <a:ext cx="14" cy="3"/>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7" name="Rectangle 29">
              <a:extLst>
                <a:ext uri="{FF2B5EF4-FFF2-40B4-BE49-F238E27FC236}">
                  <a16:creationId xmlns:a16="http://schemas.microsoft.com/office/drawing/2014/main" id="{00000000-0008-0000-0000-0000F7000000}"/>
                </a:ext>
              </a:extLst>
            </xdr:cNvPr>
            <xdr:cNvSpPr>
              <a:spLocks noChangeArrowheads="1"/>
            </xdr:cNvSpPr>
          </xdr:nvSpPr>
          <xdr:spPr bwMode="auto">
            <a:xfrm>
              <a:off x="17" y="152"/>
              <a:ext cx="14" cy="1"/>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8" name="Rectangle 30">
              <a:extLst>
                <a:ext uri="{FF2B5EF4-FFF2-40B4-BE49-F238E27FC236}">
                  <a16:creationId xmlns:a16="http://schemas.microsoft.com/office/drawing/2014/main" id="{00000000-0008-0000-0000-0000F8000000}"/>
                </a:ext>
              </a:extLst>
            </xdr:cNvPr>
            <xdr:cNvSpPr>
              <a:spLocks noChangeArrowheads="1"/>
            </xdr:cNvSpPr>
          </xdr:nvSpPr>
          <xdr:spPr bwMode="auto">
            <a:xfrm>
              <a:off x="18" y="148"/>
              <a:ext cx="12" cy="0"/>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9" name="Rectangle 31">
              <a:extLst>
                <a:ext uri="{FF2B5EF4-FFF2-40B4-BE49-F238E27FC236}">
                  <a16:creationId xmlns:a16="http://schemas.microsoft.com/office/drawing/2014/main" id="{00000000-0008-0000-0000-0000F9000000}"/>
                </a:ext>
              </a:extLst>
            </xdr:cNvPr>
            <xdr:cNvSpPr>
              <a:spLocks noChangeArrowheads="1"/>
            </xdr:cNvSpPr>
          </xdr:nvSpPr>
          <xdr:spPr bwMode="auto">
            <a:xfrm>
              <a:off x="18" y="150"/>
              <a:ext cx="12" cy="1"/>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sp macro="" textlink="">
        <xdr:nvSpPr>
          <xdr:cNvPr id="224" name="Rectangle 32">
            <a:extLst>
              <a:ext uri="{FF2B5EF4-FFF2-40B4-BE49-F238E27FC236}">
                <a16:creationId xmlns:a16="http://schemas.microsoft.com/office/drawing/2014/main" id="{00000000-0008-0000-0000-0000E0000000}"/>
              </a:ext>
            </a:extLst>
          </xdr:cNvPr>
          <xdr:cNvSpPr>
            <a:spLocks noChangeArrowheads="1"/>
          </xdr:cNvSpPr>
        </xdr:nvSpPr>
        <xdr:spPr bwMode="auto">
          <a:xfrm>
            <a:off x="129" y="92"/>
            <a:ext cx="16" cy="12"/>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25" name="Freeform 33">
            <a:extLst>
              <a:ext uri="{FF2B5EF4-FFF2-40B4-BE49-F238E27FC236}">
                <a16:creationId xmlns:a16="http://schemas.microsoft.com/office/drawing/2014/main" id="{00000000-0008-0000-0000-0000E1000000}"/>
              </a:ext>
            </a:extLst>
          </xdr:cNvPr>
          <xdr:cNvSpPr>
            <a:spLocks/>
          </xdr:cNvSpPr>
        </xdr:nvSpPr>
        <xdr:spPr bwMode="auto">
          <a:xfrm>
            <a:off x="47" y="74"/>
            <a:ext cx="69" cy="57"/>
          </a:xfrm>
          <a:custGeom>
            <a:avLst/>
            <a:gdLst>
              <a:gd name="T0" fmla="*/ 0 w 84"/>
              <a:gd name="T1" fmla="*/ 2 h 71"/>
              <a:gd name="T2" fmla="*/ 2 w 84"/>
              <a:gd name="T3" fmla="*/ 2 h 71"/>
              <a:gd name="T4" fmla="*/ 2 w 84"/>
              <a:gd name="T5" fmla="*/ 0 h 71"/>
              <a:gd name="T6" fmla="*/ 2 w 84"/>
              <a:gd name="T7" fmla="*/ 0 h 71"/>
              <a:gd name="T8" fmla="*/ 2 w 84"/>
              <a:gd name="T9" fmla="*/ 2 h 71"/>
              <a:gd name="T10" fmla="*/ 2 w 84"/>
              <a:gd name="T11" fmla="*/ 2 h 71"/>
              <a:gd name="T12" fmla="*/ 2 w 84"/>
              <a:gd name="T13" fmla="*/ 2 h 71"/>
              <a:gd name="T14" fmla="*/ 2 w 84"/>
              <a:gd name="T15" fmla="*/ 2 h 71"/>
              <a:gd name="T16" fmla="*/ 2 w 84"/>
              <a:gd name="T17" fmla="*/ 2 h 71"/>
              <a:gd name="T18" fmla="*/ 2 w 84"/>
              <a:gd name="T19" fmla="*/ 2 h 71"/>
              <a:gd name="T20" fmla="*/ 2 w 84"/>
              <a:gd name="T21" fmla="*/ 2 h 71"/>
              <a:gd name="T22" fmla="*/ 0 w 84"/>
              <a:gd name="T23" fmla="*/ 2 h 71"/>
              <a:gd name="T24" fmla="*/ 0 w 84"/>
              <a:gd name="T25" fmla="*/ 2 h 71"/>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84"/>
              <a:gd name="T40" fmla="*/ 0 h 71"/>
              <a:gd name="T41" fmla="*/ 84 w 84"/>
              <a:gd name="T42" fmla="*/ 71 h 71"/>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84" h="71">
                <a:moveTo>
                  <a:pt x="0" y="16"/>
                </a:moveTo>
                <a:lnTo>
                  <a:pt x="26" y="16"/>
                </a:lnTo>
                <a:lnTo>
                  <a:pt x="26" y="0"/>
                </a:lnTo>
                <a:lnTo>
                  <a:pt x="57" y="0"/>
                </a:lnTo>
                <a:lnTo>
                  <a:pt x="57" y="17"/>
                </a:lnTo>
                <a:lnTo>
                  <a:pt x="84" y="17"/>
                </a:lnTo>
                <a:lnTo>
                  <a:pt x="84" y="46"/>
                </a:lnTo>
                <a:lnTo>
                  <a:pt x="57" y="46"/>
                </a:lnTo>
                <a:lnTo>
                  <a:pt x="57" y="71"/>
                </a:lnTo>
                <a:lnTo>
                  <a:pt x="26" y="71"/>
                </a:lnTo>
                <a:lnTo>
                  <a:pt x="26" y="46"/>
                </a:lnTo>
                <a:lnTo>
                  <a:pt x="0" y="46"/>
                </a:lnTo>
                <a:lnTo>
                  <a:pt x="0" y="16"/>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26" name="Rectangle 34">
            <a:extLst>
              <a:ext uri="{FF2B5EF4-FFF2-40B4-BE49-F238E27FC236}">
                <a16:creationId xmlns:a16="http://schemas.microsoft.com/office/drawing/2014/main" id="{00000000-0008-0000-0000-0000E2000000}"/>
              </a:ext>
            </a:extLst>
          </xdr:cNvPr>
          <xdr:cNvSpPr>
            <a:spLocks noChangeArrowheads="1"/>
          </xdr:cNvSpPr>
        </xdr:nvSpPr>
        <xdr:spPr bwMode="auto">
          <a:xfrm>
            <a:off x="19" y="105"/>
            <a:ext cx="10" cy="11"/>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27" name="Rectangle 35">
            <a:extLst>
              <a:ext uri="{FF2B5EF4-FFF2-40B4-BE49-F238E27FC236}">
                <a16:creationId xmlns:a16="http://schemas.microsoft.com/office/drawing/2014/main" id="{00000000-0008-0000-0000-0000E3000000}"/>
              </a:ext>
            </a:extLst>
          </xdr:cNvPr>
          <xdr:cNvSpPr>
            <a:spLocks noChangeArrowheads="1"/>
          </xdr:cNvSpPr>
        </xdr:nvSpPr>
        <xdr:spPr bwMode="auto">
          <a:xfrm>
            <a:off x="18" y="93"/>
            <a:ext cx="16" cy="11"/>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nvGrpSpPr>
          <xdr:cNvPr id="228" name="Group 36">
            <a:extLst>
              <a:ext uri="{FF2B5EF4-FFF2-40B4-BE49-F238E27FC236}">
                <a16:creationId xmlns:a16="http://schemas.microsoft.com/office/drawing/2014/main" id="{00000000-0008-0000-0000-0000E4000000}"/>
              </a:ext>
            </a:extLst>
          </xdr:cNvPr>
          <xdr:cNvGrpSpPr>
            <a:grpSpLocks/>
          </xdr:cNvGrpSpPr>
        </xdr:nvGrpSpPr>
        <xdr:grpSpPr bwMode="auto">
          <a:xfrm>
            <a:off x="33" y="86"/>
            <a:ext cx="14" cy="26"/>
            <a:chOff x="33" y="107"/>
            <a:chExt cx="14" cy="30"/>
          </a:xfrm>
        </xdr:grpSpPr>
        <xdr:sp macro="" textlink="">
          <xdr:nvSpPr>
            <xdr:cNvPr id="242" name="Rectangle 37">
              <a:extLst>
                <a:ext uri="{FF2B5EF4-FFF2-40B4-BE49-F238E27FC236}">
                  <a16:creationId xmlns:a16="http://schemas.microsoft.com/office/drawing/2014/main" id="{00000000-0008-0000-0000-0000F2000000}"/>
                </a:ext>
              </a:extLst>
            </xdr:cNvPr>
            <xdr:cNvSpPr>
              <a:spLocks noChangeArrowheads="1"/>
            </xdr:cNvSpPr>
          </xdr:nvSpPr>
          <xdr:spPr bwMode="auto">
            <a:xfrm>
              <a:off x="42" y="115"/>
              <a:ext cx="5" cy="13"/>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3" name="Rectangle 38">
              <a:extLst>
                <a:ext uri="{FF2B5EF4-FFF2-40B4-BE49-F238E27FC236}">
                  <a16:creationId xmlns:a16="http://schemas.microsoft.com/office/drawing/2014/main" id="{00000000-0008-0000-0000-0000F3000000}"/>
                </a:ext>
              </a:extLst>
            </xdr:cNvPr>
            <xdr:cNvSpPr>
              <a:spLocks noChangeArrowheads="1"/>
            </xdr:cNvSpPr>
          </xdr:nvSpPr>
          <xdr:spPr bwMode="auto">
            <a:xfrm>
              <a:off x="38" y="107"/>
              <a:ext cx="4" cy="29"/>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4" name="Rectangle 39">
              <a:extLst>
                <a:ext uri="{FF2B5EF4-FFF2-40B4-BE49-F238E27FC236}">
                  <a16:creationId xmlns:a16="http://schemas.microsoft.com/office/drawing/2014/main" id="{00000000-0008-0000-0000-0000F4000000}"/>
                </a:ext>
              </a:extLst>
            </xdr:cNvPr>
            <xdr:cNvSpPr>
              <a:spLocks noChangeArrowheads="1"/>
            </xdr:cNvSpPr>
          </xdr:nvSpPr>
          <xdr:spPr bwMode="auto">
            <a:xfrm>
              <a:off x="33" y="107"/>
              <a:ext cx="4" cy="29"/>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grpSp>
        <xdr:nvGrpSpPr>
          <xdr:cNvPr id="229" name="Group 40">
            <a:extLst>
              <a:ext uri="{FF2B5EF4-FFF2-40B4-BE49-F238E27FC236}">
                <a16:creationId xmlns:a16="http://schemas.microsoft.com/office/drawing/2014/main" id="{00000000-0008-0000-0000-0000E5000000}"/>
              </a:ext>
            </a:extLst>
          </xdr:cNvPr>
          <xdr:cNvGrpSpPr>
            <a:grpSpLocks/>
          </xdr:cNvGrpSpPr>
        </xdr:nvGrpSpPr>
        <xdr:grpSpPr bwMode="auto">
          <a:xfrm rot="-10793199">
            <a:off x="116" y="86"/>
            <a:ext cx="14" cy="26"/>
            <a:chOff x="33" y="107"/>
            <a:chExt cx="14" cy="30"/>
          </a:xfrm>
        </xdr:grpSpPr>
        <xdr:sp macro="" textlink="">
          <xdr:nvSpPr>
            <xdr:cNvPr id="239" name="Rectangle 41">
              <a:extLst>
                <a:ext uri="{FF2B5EF4-FFF2-40B4-BE49-F238E27FC236}">
                  <a16:creationId xmlns:a16="http://schemas.microsoft.com/office/drawing/2014/main" id="{00000000-0008-0000-0000-0000EF000000}"/>
                </a:ext>
              </a:extLst>
            </xdr:cNvPr>
            <xdr:cNvSpPr>
              <a:spLocks noChangeArrowheads="1"/>
            </xdr:cNvSpPr>
          </xdr:nvSpPr>
          <xdr:spPr bwMode="auto">
            <a:xfrm>
              <a:off x="43" y="117"/>
              <a:ext cx="5" cy="13"/>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0" name="Rectangle 42">
              <a:extLst>
                <a:ext uri="{FF2B5EF4-FFF2-40B4-BE49-F238E27FC236}">
                  <a16:creationId xmlns:a16="http://schemas.microsoft.com/office/drawing/2014/main" id="{00000000-0008-0000-0000-0000F0000000}"/>
                </a:ext>
              </a:extLst>
            </xdr:cNvPr>
            <xdr:cNvSpPr>
              <a:spLocks noChangeArrowheads="1"/>
            </xdr:cNvSpPr>
          </xdr:nvSpPr>
          <xdr:spPr bwMode="auto">
            <a:xfrm>
              <a:off x="38" y="107"/>
              <a:ext cx="4" cy="29"/>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41" name="Rectangle 43">
              <a:extLst>
                <a:ext uri="{FF2B5EF4-FFF2-40B4-BE49-F238E27FC236}">
                  <a16:creationId xmlns:a16="http://schemas.microsoft.com/office/drawing/2014/main" id="{00000000-0008-0000-0000-0000F1000000}"/>
                </a:ext>
              </a:extLst>
            </xdr:cNvPr>
            <xdr:cNvSpPr>
              <a:spLocks noChangeArrowheads="1"/>
            </xdr:cNvSpPr>
          </xdr:nvSpPr>
          <xdr:spPr bwMode="auto">
            <a:xfrm>
              <a:off x="34" y="107"/>
              <a:ext cx="4" cy="29"/>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sp macro="" textlink="">
        <xdr:nvSpPr>
          <xdr:cNvPr id="230" name="Rectangle 44">
            <a:extLst>
              <a:ext uri="{FF2B5EF4-FFF2-40B4-BE49-F238E27FC236}">
                <a16:creationId xmlns:a16="http://schemas.microsoft.com/office/drawing/2014/main" id="{00000000-0008-0000-0000-0000E6000000}"/>
              </a:ext>
            </a:extLst>
          </xdr:cNvPr>
          <xdr:cNvSpPr>
            <a:spLocks noChangeArrowheads="1"/>
          </xdr:cNvSpPr>
        </xdr:nvSpPr>
        <xdr:spPr bwMode="auto">
          <a:xfrm flipH="1">
            <a:off x="133" y="104"/>
            <a:ext cx="11" cy="11"/>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1" name="Freeform 45">
            <a:extLst>
              <a:ext uri="{FF2B5EF4-FFF2-40B4-BE49-F238E27FC236}">
                <a16:creationId xmlns:a16="http://schemas.microsoft.com/office/drawing/2014/main" id="{00000000-0008-0000-0000-0000E7000000}"/>
              </a:ext>
            </a:extLst>
          </xdr:cNvPr>
          <xdr:cNvSpPr>
            <a:spLocks/>
          </xdr:cNvSpPr>
        </xdr:nvSpPr>
        <xdr:spPr bwMode="auto">
          <a:xfrm>
            <a:off x="131" y="115"/>
            <a:ext cx="14" cy="2"/>
          </a:xfrm>
          <a:custGeom>
            <a:avLst/>
            <a:gdLst>
              <a:gd name="T0" fmla="*/ 0 w 51"/>
              <a:gd name="T1" fmla="*/ 1 h 3"/>
              <a:gd name="T2" fmla="*/ 0 w 51"/>
              <a:gd name="T3" fmla="*/ 0 h 3"/>
              <a:gd name="T4" fmla="*/ 0 w 51"/>
              <a:gd name="T5" fmla="*/ 0 h 3"/>
              <a:gd name="T6" fmla="*/ 0 w 51"/>
              <a:gd name="T7" fmla="*/ 1 h 3"/>
              <a:gd name="T8" fmla="*/ 0 w 51"/>
              <a:gd name="T9" fmla="*/ 1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2" name="Rectangle 46">
            <a:extLst>
              <a:ext uri="{FF2B5EF4-FFF2-40B4-BE49-F238E27FC236}">
                <a16:creationId xmlns:a16="http://schemas.microsoft.com/office/drawing/2014/main" id="{00000000-0008-0000-0000-0000E8000000}"/>
              </a:ext>
            </a:extLst>
          </xdr:cNvPr>
          <xdr:cNvSpPr>
            <a:spLocks noChangeArrowheads="1"/>
          </xdr:cNvSpPr>
        </xdr:nvSpPr>
        <xdr:spPr bwMode="auto">
          <a:xfrm flipH="1">
            <a:off x="129" y="116"/>
            <a:ext cx="18" cy="7"/>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3" name="Rectangle 47">
            <a:extLst>
              <a:ext uri="{FF2B5EF4-FFF2-40B4-BE49-F238E27FC236}">
                <a16:creationId xmlns:a16="http://schemas.microsoft.com/office/drawing/2014/main" id="{00000000-0008-0000-0000-0000E9000000}"/>
              </a:ext>
            </a:extLst>
          </xdr:cNvPr>
          <xdr:cNvSpPr>
            <a:spLocks noChangeArrowheads="1"/>
          </xdr:cNvSpPr>
        </xdr:nvSpPr>
        <xdr:spPr bwMode="auto">
          <a:xfrm>
            <a:off x="132" y="116"/>
            <a:ext cx="4" cy="7"/>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4" name="Rectangle 48">
            <a:extLst>
              <a:ext uri="{FF2B5EF4-FFF2-40B4-BE49-F238E27FC236}">
                <a16:creationId xmlns:a16="http://schemas.microsoft.com/office/drawing/2014/main" id="{00000000-0008-0000-0000-0000EA000000}"/>
              </a:ext>
            </a:extLst>
          </xdr:cNvPr>
          <xdr:cNvSpPr>
            <a:spLocks noChangeArrowheads="1"/>
          </xdr:cNvSpPr>
        </xdr:nvSpPr>
        <xdr:spPr bwMode="auto">
          <a:xfrm>
            <a:off x="145" y="116"/>
            <a:ext cx="3" cy="7"/>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5" name="AutoShape 49">
            <a:extLst>
              <a:ext uri="{FF2B5EF4-FFF2-40B4-BE49-F238E27FC236}">
                <a16:creationId xmlns:a16="http://schemas.microsoft.com/office/drawing/2014/main" id="{00000000-0008-0000-0000-0000EB000000}"/>
              </a:ext>
            </a:extLst>
          </xdr:cNvPr>
          <xdr:cNvSpPr>
            <a:spLocks noChangeArrowheads="1"/>
          </xdr:cNvSpPr>
        </xdr:nvSpPr>
        <xdr:spPr bwMode="auto">
          <a:xfrm>
            <a:off x="70" y="79"/>
            <a:ext cx="22" cy="17"/>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60000 65536"/>
              <a:gd name="T17" fmla="*/ 0 60000 65536"/>
              <a:gd name="T18" fmla="*/ 0 60000 65536"/>
              <a:gd name="T19" fmla="*/ 0 60000 65536"/>
              <a:gd name="T20" fmla="*/ 0 60000 65536"/>
              <a:gd name="T21" fmla="*/ 0 60000 65536"/>
              <a:gd name="T22" fmla="*/ 0 60000 65536"/>
              <a:gd name="T23" fmla="*/ 0 60000 65536"/>
              <a:gd name="T24" fmla="*/ 2945 w 21600"/>
              <a:gd name="T25" fmla="*/ 2541 h 21600"/>
              <a:gd name="T26" fmla="*/ 18655 w 21600"/>
              <a:gd name="T27" fmla="*/ 19059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17401" y="15493"/>
                </a:moveTo>
                <a:cubicBezTo>
                  <a:pt x="18376" y="14122"/>
                  <a:pt x="18900" y="12482"/>
                  <a:pt x="18900" y="10800"/>
                </a:cubicBezTo>
                <a:cubicBezTo>
                  <a:pt x="18900" y="6326"/>
                  <a:pt x="15273" y="2700"/>
                  <a:pt x="10800" y="2700"/>
                </a:cubicBezTo>
                <a:cubicBezTo>
                  <a:pt x="9117" y="2699"/>
                  <a:pt x="7477" y="3223"/>
                  <a:pt x="6106" y="4198"/>
                </a:cubicBezTo>
                <a:lnTo>
                  <a:pt x="17401" y="15493"/>
                </a:lnTo>
                <a:close/>
                <a:moveTo>
                  <a:pt x="4198" y="6106"/>
                </a:moveTo>
                <a:cubicBezTo>
                  <a:pt x="3223" y="7477"/>
                  <a:pt x="2700" y="9117"/>
                  <a:pt x="2700" y="10799"/>
                </a:cubicBezTo>
                <a:cubicBezTo>
                  <a:pt x="2700" y="15273"/>
                  <a:pt x="6326" y="18900"/>
                  <a:pt x="10800" y="18900"/>
                </a:cubicBezTo>
                <a:cubicBezTo>
                  <a:pt x="12482" y="18900"/>
                  <a:pt x="14122" y="18376"/>
                  <a:pt x="15493" y="17401"/>
                </a:cubicBezTo>
                <a:lnTo>
                  <a:pt x="4198" y="6106"/>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6" name="AutoShape 50">
            <a:extLst>
              <a:ext uri="{FF2B5EF4-FFF2-40B4-BE49-F238E27FC236}">
                <a16:creationId xmlns:a16="http://schemas.microsoft.com/office/drawing/2014/main" id="{00000000-0008-0000-0000-0000EC000000}"/>
              </a:ext>
            </a:extLst>
          </xdr:cNvPr>
          <xdr:cNvSpPr>
            <a:spLocks noChangeArrowheads="1"/>
          </xdr:cNvSpPr>
        </xdr:nvSpPr>
        <xdr:spPr bwMode="auto">
          <a:xfrm>
            <a:off x="70" y="107"/>
            <a:ext cx="22" cy="17"/>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60000 65536"/>
              <a:gd name="T17" fmla="*/ 0 60000 65536"/>
              <a:gd name="T18" fmla="*/ 0 60000 65536"/>
              <a:gd name="T19" fmla="*/ 0 60000 65536"/>
              <a:gd name="T20" fmla="*/ 0 60000 65536"/>
              <a:gd name="T21" fmla="*/ 0 60000 65536"/>
              <a:gd name="T22" fmla="*/ 0 60000 65536"/>
              <a:gd name="T23" fmla="*/ 0 60000 65536"/>
              <a:gd name="T24" fmla="*/ 2945 w 21600"/>
              <a:gd name="T25" fmla="*/ 2541 h 21600"/>
              <a:gd name="T26" fmla="*/ 18655 w 21600"/>
              <a:gd name="T27" fmla="*/ 19059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17401" y="15493"/>
                </a:moveTo>
                <a:cubicBezTo>
                  <a:pt x="18376" y="14122"/>
                  <a:pt x="18900" y="12482"/>
                  <a:pt x="18900" y="10800"/>
                </a:cubicBezTo>
                <a:cubicBezTo>
                  <a:pt x="18900" y="6326"/>
                  <a:pt x="15273" y="2700"/>
                  <a:pt x="10800" y="2700"/>
                </a:cubicBezTo>
                <a:cubicBezTo>
                  <a:pt x="9117" y="2699"/>
                  <a:pt x="7477" y="3223"/>
                  <a:pt x="6106" y="4198"/>
                </a:cubicBezTo>
                <a:lnTo>
                  <a:pt x="17401" y="15493"/>
                </a:lnTo>
                <a:close/>
                <a:moveTo>
                  <a:pt x="4198" y="6106"/>
                </a:moveTo>
                <a:cubicBezTo>
                  <a:pt x="3223" y="7477"/>
                  <a:pt x="2700" y="9117"/>
                  <a:pt x="2700" y="10799"/>
                </a:cubicBezTo>
                <a:cubicBezTo>
                  <a:pt x="2700" y="15273"/>
                  <a:pt x="6326" y="18900"/>
                  <a:pt x="10800" y="18900"/>
                </a:cubicBezTo>
                <a:cubicBezTo>
                  <a:pt x="12482" y="18900"/>
                  <a:pt x="14122" y="18376"/>
                  <a:pt x="15493" y="17401"/>
                </a:cubicBezTo>
                <a:lnTo>
                  <a:pt x="4198" y="6106"/>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7" name="AutoShape 51">
            <a:extLst>
              <a:ext uri="{FF2B5EF4-FFF2-40B4-BE49-F238E27FC236}">
                <a16:creationId xmlns:a16="http://schemas.microsoft.com/office/drawing/2014/main" id="{00000000-0008-0000-0000-0000ED000000}"/>
              </a:ext>
            </a:extLst>
          </xdr:cNvPr>
          <xdr:cNvSpPr>
            <a:spLocks noChangeArrowheads="1"/>
          </xdr:cNvSpPr>
        </xdr:nvSpPr>
        <xdr:spPr bwMode="auto">
          <a:xfrm>
            <a:off x="89" y="91"/>
            <a:ext cx="21" cy="18"/>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60000 65536"/>
              <a:gd name="T17" fmla="*/ 0 60000 65536"/>
              <a:gd name="T18" fmla="*/ 0 60000 65536"/>
              <a:gd name="T19" fmla="*/ 0 60000 65536"/>
              <a:gd name="T20" fmla="*/ 0 60000 65536"/>
              <a:gd name="T21" fmla="*/ 0 60000 65536"/>
              <a:gd name="T22" fmla="*/ 0 60000 65536"/>
              <a:gd name="T23" fmla="*/ 0 60000 65536"/>
              <a:gd name="T24" fmla="*/ 3086 w 21600"/>
              <a:gd name="T25" fmla="*/ 3600 h 21600"/>
              <a:gd name="T26" fmla="*/ 18514 w 21600"/>
              <a:gd name="T27" fmla="*/ 180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17401" y="15493"/>
                </a:moveTo>
                <a:cubicBezTo>
                  <a:pt x="18376" y="14122"/>
                  <a:pt x="18900" y="12482"/>
                  <a:pt x="18900" y="10800"/>
                </a:cubicBezTo>
                <a:cubicBezTo>
                  <a:pt x="18900" y="6326"/>
                  <a:pt x="15273" y="2700"/>
                  <a:pt x="10800" y="2700"/>
                </a:cubicBezTo>
                <a:cubicBezTo>
                  <a:pt x="9117" y="2699"/>
                  <a:pt x="7477" y="3223"/>
                  <a:pt x="6106" y="4198"/>
                </a:cubicBezTo>
                <a:lnTo>
                  <a:pt x="17401" y="15493"/>
                </a:lnTo>
                <a:close/>
                <a:moveTo>
                  <a:pt x="4198" y="6106"/>
                </a:moveTo>
                <a:cubicBezTo>
                  <a:pt x="3223" y="7477"/>
                  <a:pt x="2700" y="9117"/>
                  <a:pt x="2700" y="10799"/>
                </a:cubicBezTo>
                <a:cubicBezTo>
                  <a:pt x="2700" y="15273"/>
                  <a:pt x="6326" y="18900"/>
                  <a:pt x="10800" y="18900"/>
                </a:cubicBezTo>
                <a:cubicBezTo>
                  <a:pt x="12482" y="18900"/>
                  <a:pt x="14122" y="18376"/>
                  <a:pt x="15493" y="17401"/>
                </a:cubicBezTo>
                <a:lnTo>
                  <a:pt x="4198" y="6106"/>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38" name="AutoShape 52">
            <a:extLst>
              <a:ext uri="{FF2B5EF4-FFF2-40B4-BE49-F238E27FC236}">
                <a16:creationId xmlns:a16="http://schemas.microsoft.com/office/drawing/2014/main" id="{00000000-0008-0000-0000-0000EE000000}"/>
              </a:ext>
            </a:extLst>
          </xdr:cNvPr>
          <xdr:cNvSpPr>
            <a:spLocks noChangeArrowheads="1"/>
          </xdr:cNvSpPr>
        </xdr:nvSpPr>
        <xdr:spPr bwMode="auto">
          <a:xfrm>
            <a:off x="50" y="90"/>
            <a:ext cx="21" cy="18"/>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60000 65536"/>
              <a:gd name="T17" fmla="*/ 0 60000 65536"/>
              <a:gd name="T18" fmla="*/ 0 60000 65536"/>
              <a:gd name="T19" fmla="*/ 0 60000 65536"/>
              <a:gd name="T20" fmla="*/ 0 60000 65536"/>
              <a:gd name="T21" fmla="*/ 0 60000 65536"/>
              <a:gd name="T22" fmla="*/ 0 60000 65536"/>
              <a:gd name="T23" fmla="*/ 0 60000 65536"/>
              <a:gd name="T24" fmla="*/ 3086 w 21600"/>
              <a:gd name="T25" fmla="*/ 3600 h 21600"/>
              <a:gd name="T26" fmla="*/ 18514 w 21600"/>
              <a:gd name="T27" fmla="*/ 18000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0" y="10800"/>
                </a:moveTo>
                <a:cubicBezTo>
                  <a:pt x="0" y="4835"/>
                  <a:pt x="4835" y="0"/>
                  <a:pt x="10800" y="0"/>
                </a:cubicBezTo>
                <a:cubicBezTo>
                  <a:pt x="16765" y="0"/>
                  <a:pt x="21600" y="4835"/>
                  <a:pt x="21600" y="10800"/>
                </a:cubicBezTo>
                <a:cubicBezTo>
                  <a:pt x="21600" y="16765"/>
                  <a:pt x="16765" y="21600"/>
                  <a:pt x="10800" y="21600"/>
                </a:cubicBezTo>
                <a:cubicBezTo>
                  <a:pt x="4835" y="21600"/>
                  <a:pt x="0" y="16765"/>
                  <a:pt x="0" y="10800"/>
                </a:cubicBezTo>
                <a:close/>
                <a:moveTo>
                  <a:pt x="17401" y="15493"/>
                </a:moveTo>
                <a:cubicBezTo>
                  <a:pt x="18376" y="14122"/>
                  <a:pt x="18900" y="12482"/>
                  <a:pt x="18900" y="10800"/>
                </a:cubicBezTo>
                <a:cubicBezTo>
                  <a:pt x="18900" y="6326"/>
                  <a:pt x="15273" y="2700"/>
                  <a:pt x="10800" y="2700"/>
                </a:cubicBezTo>
                <a:cubicBezTo>
                  <a:pt x="9117" y="2699"/>
                  <a:pt x="7477" y="3223"/>
                  <a:pt x="6106" y="4198"/>
                </a:cubicBezTo>
                <a:lnTo>
                  <a:pt x="17401" y="15493"/>
                </a:lnTo>
                <a:close/>
                <a:moveTo>
                  <a:pt x="4198" y="6106"/>
                </a:moveTo>
                <a:cubicBezTo>
                  <a:pt x="3223" y="7477"/>
                  <a:pt x="2700" y="9117"/>
                  <a:pt x="2700" y="10799"/>
                </a:cubicBezTo>
                <a:cubicBezTo>
                  <a:pt x="2700" y="15273"/>
                  <a:pt x="6326" y="18900"/>
                  <a:pt x="10800" y="18900"/>
                </a:cubicBezTo>
                <a:cubicBezTo>
                  <a:pt x="12482" y="18900"/>
                  <a:pt x="14122" y="18376"/>
                  <a:pt x="15493" y="17401"/>
                </a:cubicBezTo>
                <a:lnTo>
                  <a:pt x="4198" y="6106"/>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clientData/>
  </xdr:twoCellAnchor>
  <xdr:twoCellAnchor>
    <xdr:from>
      <xdr:col>1</xdr:col>
      <xdr:colOff>495300</xdr:colOff>
      <xdr:row>8</xdr:row>
      <xdr:rowOff>535113</xdr:rowOff>
    </xdr:from>
    <xdr:to>
      <xdr:col>1</xdr:col>
      <xdr:colOff>885825</xdr:colOff>
      <xdr:row>10</xdr:row>
      <xdr:rowOff>0</xdr:rowOff>
    </xdr:to>
    <xdr:grpSp>
      <xdr:nvGrpSpPr>
        <xdr:cNvPr id="250" name="Group 53">
          <a:extLst>
            <a:ext uri="{FF2B5EF4-FFF2-40B4-BE49-F238E27FC236}">
              <a16:creationId xmlns:a16="http://schemas.microsoft.com/office/drawing/2014/main" id="{00000000-0008-0000-0000-0000FA000000}"/>
            </a:ext>
          </a:extLst>
        </xdr:cNvPr>
        <xdr:cNvGrpSpPr>
          <a:grpSpLocks/>
        </xdr:cNvGrpSpPr>
      </xdr:nvGrpSpPr>
      <xdr:grpSpPr bwMode="auto">
        <a:xfrm>
          <a:off x="1094014" y="3387170"/>
          <a:ext cx="390525" cy="303087"/>
          <a:chOff x="64" y="138"/>
          <a:chExt cx="35" cy="28"/>
        </a:xfrm>
      </xdr:grpSpPr>
      <xdr:sp macro="" textlink="">
        <xdr:nvSpPr>
          <xdr:cNvPr id="251" name="Rectangle 54">
            <a:extLst>
              <a:ext uri="{FF2B5EF4-FFF2-40B4-BE49-F238E27FC236}">
                <a16:creationId xmlns:a16="http://schemas.microsoft.com/office/drawing/2014/main" id="{00000000-0008-0000-0000-0000FB000000}"/>
              </a:ext>
            </a:extLst>
          </xdr:cNvPr>
          <xdr:cNvSpPr>
            <a:spLocks noChangeArrowheads="1"/>
          </xdr:cNvSpPr>
        </xdr:nvSpPr>
        <xdr:spPr bwMode="auto">
          <a:xfrm>
            <a:off x="71" y="137"/>
            <a:ext cx="20" cy="5"/>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52" name="Rectangle 55">
            <a:extLst>
              <a:ext uri="{FF2B5EF4-FFF2-40B4-BE49-F238E27FC236}">
                <a16:creationId xmlns:a16="http://schemas.microsoft.com/office/drawing/2014/main" id="{00000000-0008-0000-0000-0000FC000000}"/>
              </a:ext>
            </a:extLst>
          </xdr:cNvPr>
          <xdr:cNvSpPr>
            <a:spLocks noChangeArrowheads="1"/>
          </xdr:cNvSpPr>
        </xdr:nvSpPr>
        <xdr:spPr bwMode="auto">
          <a:xfrm>
            <a:off x="64" y="142"/>
            <a:ext cx="35" cy="11"/>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nvGrpSpPr>
          <xdr:cNvPr id="253" name="Group 56">
            <a:extLst>
              <a:ext uri="{FF2B5EF4-FFF2-40B4-BE49-F238E27FC236}">
                <a16:creationId xmlns:a16="http://schemas.microsoft.com/office/drawing/2014/main" id="{00000000-0008-0000-0000-0000FD000000}"/>
              </a:ext>
            </a:extLst>
          </xdr:cNvPr>
          <xdr:cNvGrpSpPr>
            <a:grpSpLocks/>
          </xdr:cNvGrpSpPr>
        </xdr:nvGrpSpPr>
        <xdr:grpSpPr bwMode="auto">
          <a:xfrm>
            <a:off x="64" y="153"/>
            <a:ext cx="35" cy="5"/>
            <a:chOff x="70" y="41"/>
            <a:chExt cx="23" cy="8"/>
          </a:xfrm>
        </xdr:grpSpPr>
        <xdr:sp macro="" textlink="">
          <xdr:nvSpPr>
            <xdr:cNvPr id="255" name="Rectangle 57">
              <a:extLst>
                <a:ext uri="{FF2B5EF4-FFF2-40B4-BE49-F238E27FC236}">
                  <a16:creationId xmlns:a16="http://schemas.microsoft.com/office/drawing/2014/main" id="{00000000-0008-0000-0000-0000FF000000}"/>
                </a:ext>
              </a:extLst>
            </xdr:cNvPr>
            <xdr:cNvSpPr>
              <a:spLocks noChangeArrowheads="1"/>
            </xdr:cNvSpPr>
          </xdr:nvSpPr>
          <xdr:spPr bwMode="auto">
            <a:xfrm>
              <a:off x="70" y="41"/>
              <a:ext cx="23" cy="4"/>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256" name="Freeform 58">
              <a:extLst>
                <a:ext uri="{FF2B5EF4-FFF2-40B4-BE49-F238E27FC236}">
                  <a16:creationId xmlns:a16="http://schemas.microsoft.com/office/drawing/2014/main" id="{00000000-0008-0000-0000-000000010000}"/>
                </a:ext>
              </a:extLst>
            </xdr:cNvPr>
            <xdr:cNvSpPr>
              <a:spLocks/>
            </xdr:cNvSpPr>
          </xdr:nvSpPr>
          <xdr:spPr bwMode="auto">
            <a:xfrm rot="10800000">
              <a:off x="70" y="45"/>
              <a:ext cx="23" cy="3"/>
            </a:xfrm>
            <a:custGeom>
              <a:avLst/>
              <a:gdLst>
                <a:gd name="T0" fmla="*/ 0 w 51"/>
                <a:gd name="T1" fmla="*/ 3 h 3"/>
                <a:gd name="T2" fmla="*/ 0 w 51"/>
                <a:gd name="T3" fmla="*/ 0 h 3"/>
                <a:gd name="T4" fmla="*/ 0 w 51"/>
                <a:gd name="T5" fmla="*/ 0 h 3"/>
                <a:gd name="T6" fmla="*/ 0 w 51"/>
                <a:gd name="T7" fmla="*/ 3 h 3"/>
                <a:gd name="T8" fmla="*/ 0 w 51"/>
                <a:gd name="T9" fmla="*/ 3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sp macro="" textlink="">
        <xdr:nvSpPr>
          <xdr:cNvPr id="254" name="Rectangle 59">
            <a:extLst>
              <a:ext uri="{FF2B5EF4-FFF2-40B4-BE49-F238E27FC236}">
                <a16:creationId xmlns:a16="http://schemas.microsoft.com/office/drawing/2014/main" id="{00000000-0008-0000-0000-0000FE000000}"/>
              </a:ext>
            </a:extLst>
          </xdr:cNvPr>
          <xdr:cNvSpPr>
            <a:spLocks noChangeArrowheads="1"/>
          </xdr:cNvSpPr>
        </xdr:nvSpPr>
        <xdr:spPr bwMode="auto">
          <a:xfrm>
            <a:off x="69" y="158"/>
            <a:ext cx="24" cy="7"/>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grpSp>
    <xdr:clientData/>
  </xdr:twoCellAnchor>
  <xdr:twoCellAnchor>
    <xdr:from>
      <xdr:col>1</xdr:col>
      <xdr:colOff>569678</xdr:colOff>
      <xdr:row>53</xdr:row>
      <xdr:rowOff>42130</xdr:rowOff>
    </xdr:from>
    <xdr:to>
      <xdr:col>1</xdr:col>
      <xdr:colOff>884003</xdr:colOff>
      <xdr:row>54</xdr:row>
      <xdr:rowOff>7422</xdr:rowOff>
    </xdr:to>
    <xdr:grpSp>
      <xdr:nvGrpSpPr>
        <xdr:cNvPr id="257" name="Group 1364">
          <a:extLst>
            <a:ext uri="{FF2B5EF4-FFF2-40B4-BE49-F238E27FC236}">
              <a16:creationId xmlns:a16="http://schemas.microsoft.com/office/drawing/2014/main" id="{00000000-0008-0000-0000-000001010000}"/>
            </a:ext>
          </a:extLst>
        </xdr:cNvPr>
        <xdr:cNvGrpSpPr>
          <a:grpSpLocks/>
        </xdr:cNvGrpSpPr>
      </xdr:nvGrpSpPr>
      <xdr:grpSpPr bwMode="auto">
        <a:xfrm>
          <a:off x="1168392" y="19048587"/>
          <a:ext cx="314325" cy="357178"/>
          <a:chOff x="2155" y="1800"/>
          <a:chExt cx="425" cy="1395"/>
        </a:xfrm>
      </xdr:grpSpPr>
      <xdr:sp macro="" textlink="">
        <xdr:nvSpPr>
          <xdr:cNvPr id="258" name="Rectangle 601">
            <a:extLst>
              <a:ext uri="{FF2B5EF4-FFF2-40B4-BE49-F238E27FC236}">
                <a16:creationId xmlns:a16="http://schemas.microsoft.com/office/drawing/2014/main" id="{00000000-0008-0000-0000-000002010000}"/>
              </a:ext>
            </a:extLst>
          </xdr:cNvPr>
          <xdr:cNvSpPr>
            <a:spLocks noChangeArrowheads="1"/>
          </xdr:cNvSpPr>
        </xdr:nvSpPr>
        <xdr:spPr bwMode="auto">
          <a:xfrm rot="10800000">
            <a:off x="2155" y="1880"/>
            <a:ext cx="425" cy="1236"/>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lnSpc>
                <a:spcPts val="1200"/>
              </a:lnSpc>
              <a:defRPr sz="1000"/>
            </a:pPr>
            <a:endParaRPr lang="en-US" sz="1200" b="0" i="0" u="none" strike="noStrike" baseline="0">
              <a:solidFill>
                <a:srgbClr val="000000"/>
              </a:solidFill>
              <a:latin typeface="Times New Roman"/>
              <a:cs typeface="Times New Roman"/>
            </a:endParaRPr>
          </a:p>
        </xdr:txBody>
      </xdr:sp>
      <xdr:sp macro="" textlink="">
        <xdr:nvSpPr>
          <xdr:cNvPr id="259" name="Freeform 599">
            <a:extLst>
              <a:ext uri="{FF2B5EF4-FFF2-40B4-BE49-F238E27FC236}">
                <a16:creationId xmlns:a16="http://schemas.microsoft.com/office/drawing/2014/main" id="{00000000-0008-0000-0000-000003010000}"/>
              </a:ext>
            </a:extLst>
          </xdr:cNvPr>
          <xdr:cNvSpPr>
            <a:spLocks/>
          </xdr:cNvSpPr>
        </xdr:nvSpPr>
        <xdr:spPr bwMode="auto">
          <a:xfrm rot="10800000">
            <a:off x="2160" y="3125"/>
            <a:ext cx="419" cy="70"/>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260" name="Freeform 600">
            <a:extLst>
              <a:ext uri="{FF2B5EF4-FFF2-40B4-BE49-F238E27FC236}">
                <a16:creationId xmlns:a16="http://schemas.microsoft.com/office/drawing/2014/main" id="{00000000-0008-0000-0000-000004010000}"/>
              </a:ext>
            </a:extLst>
          </xdr:cNvPr>
          <xdr:cNvSpPr>
            <a:spLocks/>
          </xdr:cNvSpPr>
        </xdr:nvSpPr>
        <xdr:spPr bwMode="auto">
          <a:xfrm>
            <a:off x="2160" y="1800"/>
            <a:ext cx="419" cy="70"/>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261" name="Rectangle 607">
            <a:extLst>
              <a:ext uri="{FF2B5EF4-FFF2-40B4-BE49-F238E27FC236}">
                <a16:creationId xmlns:a16="http://schemas.microsoft.com/office/drawing/2014/main" id="{00000000-0008-0000-0000-000005010000}"/>
              </a:ext>
            </a:extLst>
          </xdr:cNvPr>
          <xdr:cNvSpPr>
            <a:spLocks noChangeArrowheads="1"/>
          </xdr:cNvSpPr>
        </xdr:nvSpPr>
        <xdr:spPr bwMode="auto">
          <a:xfrm>
            <a:off x="2361" y="2876"/>
            <a:ext cx="26" cy="8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262" name="Rectangle 608">
            <a:extLst>
              <a:ext uri="{FF2B5EF4-FFF2-40B4-BE49-F238E27FC236}">
                <a16:creationId xmlns:a16="http://schemas.microsoft.com/office/drawing/2014/main" id="{00000000-0008-0000-0000-000006010000}"/>
              </a:ext>
            </a:extLst>
          </xdr:cNvPr>
          <xdr:cNvSpPr>
            <a:spLocks noChangeArrowheads="1"/>
          </xdr:cNvSpPr>
        </xdr:nvSpPr>
        <xdr:spPr bwMode="auto">
          <a:xfrm>
            <a:off x="2425" y="2876"/>
            <a:ext cx="26" cy="8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263" name="Rectangle 609">
            <a:extLst>
              <a:ext uri="{FF2B5EF4-FFF2-40B4-BE49-F238E27FC236}">
                <a16:creationId xmlns:a16="http://schemas.microsoft.com/office/drawing/2014/main" id="{00000000-0008-0000-0000-000007010000}"/>
              </a:ext>
            </a:extLst>
          </xdr:cNvPr>
          <xdr:cNvSpPr>
            <a:spLocks noChangeArrowheads="1"/>
          </xdr:cNvSpPr>
        </xdr:nvSpPr>
        <xdr:spPr bwMode="auto">
          <a:xfrm>
            <a:off x="2528" y="2876"/>
            <a:ext cx="26" cy="8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264" name="Rectangle 610">
            <a:extLst>
              <a:ext uri="{FF2B5EF4-FFF2-40B4-BE49-F238E27FC236}">
                <a16:creationId xmlns:a16="http://schemas.microsoft.com/office/drawing/2014/main" id="{00000000-0008-0000-0000-000008010000}"/>
              </a:ext>
            </a:extLst>
          </xdr:cNvPr>
          <xdr:cNvSpPr>
            <a:spLocks noChangeArrowheads="1"/>
          </xdr:cNvSpPr>
        </xdr:nvSpPr>
        <xdr:spPr bwMode="auto">
          <a:xfrm>
            <a:off x="2284" y="2876"/>
            <a:ext cx="39" cy="8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265" name="Rectangle 611">
            <a:extLst>
              <a:ext uri="{FF2B5EF4-FFF2-40B4-BE49-F238E27FC236}">
                <a16:creationId xmlns:a16="http://schemas.microsoft.com/office/drawing/2014/main" id="{00000000-0008-0000-0000-000009010000}"/>
              </a:ext>
            </a:extLst>
          </xdr:cNvPr>
          <xdr:cNvSpPr>
            <a:spLocks noChangeArrowheads="1"/>
          </xdr:cNvSpPr>
        </xdr:nvSpPr>
        <xdr:spPr bwMode="auto">
          <a:xfrm>
            <a:off x="2181" y="2876"/>
            <a:ext cx="26" cy="8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grpSp>
        <xdr:nvGrpSpPr>
          <xdr:cNvPr id="266" name="Group 1374">
            <a:extLst>
              <a:ext uri="{FF2B5EF4-FFF2-40B4-BE49-F238E27FC236}">
                <a16:creationId xmlns:a16="http://schemas.microsoft.com/office/drawing/2014/main" id="{00000000-0008-0000-0000-00000A010000}"/>
              </a:ext>
            </a:extLst>
          </xdr:cNvPr>
          <xdr:cNvGrpSpPr>
            <a:grpSpLocks/>
          </xdr:cNvGrpSpPr>
        </xdr:nvGrpSpPr>
        <xdr:grpSpPr bwMode="auto">
          <a:xfrm>
            <a:off x="2155" y="2474"/>
            <a:ext cx="384" cy="31"/>
            <a:chOff x="1419" y="1540"/>
            <a:chExt cx="336" cy="27"/>
          </a:xfrm>
        </xdr:grpSpPr>
        <xdr:sp macro="" textlink="">
          <xdr:nvSpPr>
            <xdr:cNvPr id="267" name="Oval 1375">
              <a:extLst>
                <a:ext uri="{FF2B5EF4-FFF2-40B4-BE49-F238E27FC236}">
                  <a16:creationId xmlns:a16="http://schemas.microsoft.com/office/drawing/2014/main" id="{00000000-0008-0000-0000-00000B010000}"/>
                </a:ext>
              </a:extLst>
            </xdr:cNvPr>
            <xdr:cNvSpPr>
              <a:spLocks noChangeArrowheads="1"/>
            </xdr:cNvSpPr>
          </xdr:nvSpPr>
          <xdr:spPr bwMode="auto">
            <a:xfrm>
              <a:off x="1573" y="1540"/>
              <a:ext cx="28" cy="27"/>
            </a:xfrm>
            <a:prstGeom prst="ellipse">
              <a:avLst/>
            </a:prstGeom>
            <a:solidFill>
              <a:srgbClr val="FFFFFF"/>
            </a:solidFill>
            <a:ln w="9525">
              <a:solidFill>
                <a:srgbClr val="000000"/>
              </a:solidFill>
              <a:round/>
              <a:headEnd/>
              <a:tailEnd/>
            </a:ln>
          </xdr:spPr>
        </xdr:sp>
        <xdr:sp macro="" textlink="">
          <xdr:nvSpPr>
            <xdr:cNvPr id="268" name="Oval 1376">
              <a:extLst>
                <a:ext uri="{FF2B5EF4-FFF2-40B4-BE49-F238E27FC236}">
                  <a16:creationId xmlns:a16="http://schemas.microsoft.com/office/drawing/2014/main" id="{00000000-0008-0000-0000-00000C010000}"/>
                </a:ext>
              </a:extLst>
            </xdr:cNvPr>
            <xdr:cNvSpPr>
              <a:spLocks noChangeArrowheads="1"/>
            </xdr:cNvSpPr>
          </xdr:nvSpPr>
          <xdr:spPr bwMode="auto">
            <a:xfrm>
              <a:off x="1727" y="1540"/>
              <a:ext cx="28" cy="27"/>
            </a:xfrm>
            <a:prstGeom prst="ellipse">
              <a:avLst/>
            </a:prstGeom>
            <a:solidFill>
              <a:srgbClr val="FFFFFF"/>
            </a:solidFill>
            <a:ln w="9525">
              <a:solidFill>
                <a:srgbClr val="000000"/>
              </a:solidFill>
              <a:round/>
              <a:headEnd/>
              <a:tailEnd/>
            </a:ln>
          </xdr:spPr>
        </xdr:sp>
        <xdr:sp macro="" textlink="">
          <xdr:nvSpPr>
            <xdr:cNvPr id="269" name="Oval 1377">
              <a:extLst>
                <a:ext uri="{FF2B5EF4-FFF2-40B4-BE49-F238E27FC236}">
                  <a16:creationId xmlns:a16="http://schemas.microsoft.com/office/drawing/2014/main" id="{00000000-0008-0000-0000-00000D010000}"/>
                </a:ext>
              </a:extLst>
            </xdr:cNvPr>
            <xdr:cNvSpPr>
              <a:spLocks noChangeArrowheads="1"/>
            </xdr:cNvSpPr>
          </xdr:nvSpPr>
          <xdr:spPr bwMode="auto">
            <a:xfrm>
              <a:off x="1419" y="1540"/>
              <a:ext cx="28" cy="27"/>
            </a:xfrm>
            <a:prstGeom prst="ellipse">
              <a:avLst/>
            </a:prstGeom>
            <a:solidFill>
              <a:srgbClr val="FFFFFF"/>
            </a:solidFill>
            <a:ln w="9525">
              <a:solidFill>
                <a:srgbClr val="000000"/>
              </a:solidFill>
              <a:round/>
              <a:headEnd/>
              <a:tailEnd/>
            </a:ln>
          </xdr:spPr>
        </xdr:sp>
      </xdr:grpSp>
    </xdr:grpSp>
    <xdr:clientData/>
  </xdr:twoCellAnchor>
  <mc:AlternateContent xmlns:mc="http://schemas.openxmlformats.org/markup-compatibility/2006">
    <mc:Choice xmlns:a14="http://schemas.microsoft.com/office/drawing/2010/main" Requires="a14">
      <xdr:twoCellAnchor>
        <xdr:from>
          <xdr:col>1</xdr:col>
          <xdr:colOff>647700</xdr:colOff>
          <xdr:row>42</xdr:row>
          <xdr:rowOff>38100</xdr:rowOff>
        </xdr:from>
        <xdr:to>
          <xdr:col>1</xdr:col>
          <xdr:colOff>739140</xdr:colOff>
          <xdr:row>43</xdr:row>
          <xdr:rowOff>30480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xdr:col>
      <xdr:colOff>563955</xdr:colOff>
      <xdr:row>50</xdr:row>
      <xdr:rowOff>20818</xdr:rowOff>
    </xdr:from>
    <xdr:to>
      <xdr:col>1</xdr:col>
      <xdr:colOff>881332</xdr:colOff>
      <xdr:row>51</xdr:row>
      <xdr:rowOff>28844</xdr:rowOff>
    </xdr:to>
    <xdr:grpSp>
      <xdr:nvGrpSpPr>
        <xdr:cNvPr id="275" name="Group 6254">
          <a:extLst>
            <a:ext uri="{FF2B5EF4-FFF2-40B4-BE49-F238E27FC236}">
              <a16:creationId xmlns:a16="http://schemas.microsoft.com/office/drawing/2014/main" id="{00000000-0008-0000-0000-000013010000}"/>
            </a:ext>
          </a:extLst>
        </xdr:cNvPr>
        <xdr:cNvGrpSpPr>
          <a:grpSpLocks/>
        </xdr:cNvGrpSpPr>
      </xdr:nvGrpSpPr>
      <xdr:grpSpPr bwMode="auto">
        <a:xfrm>
          <a:off x="1162669" y="17612132"/>
          <a:ext cx="317377" cy="312826"/>
          <a:chOff x="73" y="225"/>
          <a:chExt cx="17" cy="75"/>
        </a:xfrm>
      </xdr:grpSpPr>
      <xdr:sp macro="" textlink="">
        <xdr:nvSpPr>
          <xdr:cNvPr id="276" name="Rectangle 696">
            <a:extLst>
              <a:ext uri="{FF2B5EF4-FFF2-40B4-BE49-F238E27FC236}">
                <a16:creationId xmlns:a16="http://schemas.microsoft.com/office/drawing/2014/main" id="{00000000-0008-0000-0000-000014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277" name="Rectangle 697">
            <a:extLst>
              <a:ext uri="{FF2B5EF4-FFF2-40B4-BE49-F238E27FC236}">
                <a16:creationId xmlns:a16="http://schemas.microsoft.com/office/drawing/2014/main" id="{00000000-0008-0000-0000-000015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278" name="Freeform 698">
            <a:extLst>
              <a:ext uri="{FF2B5EF4-FFF2-40B4-BE49-F238E27FC236}">
                <a16:creationId xmlns:a16="http://schemas.microsoft.com/office/drawing/2014/main" id="{00000000-0008-0000-0000-000016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524932</xdr:colOff>
      <xdr:row>31</xdr:row>
      <xdr:rowOff>0</xdr:rowOff>
    </xdr:from>
    <xdr:to>
      <xdr:col>1</xdr:col>
      <xdr:colOff>824675</xdr:colOff>
      <xdr:row>31</xdr:row>
      <xdr:rowOff>345400</xdr:rowOff>
    </xdr:to>
    <xdr:grpSp>
      <xdr:nvGrpSpPr>
        <xdr:cNvPr id="283" name="Group 6254">
          <a:extLst>
            <a:ext uri="{FF2B5EF4-FFF2-40B4-BE49-F238E27FC236}">
              <a16:creationId xmlns:a16="http://schemas.microsoft.com/office/drawing/2014/main" id="{00000000-0008-0000-0000-00001B010000}"/>
            </a:ext>
          </a:extLst>
        </xdr:cNvPr>
        <xdr:cNvGrpSpPr>
          <a:grpSpLocks/>
        </xdr:cNvGrpSpPr>
      </xdr:nvGrpSpPr>
      <xdr:grpSpPr bwMode="auto">
        <a:xfrm>
          <a:off x="1123646" y="11669486"/>
          <a:ext cx="299743" cy="345400"/>
          <a:chOff x="73" y="225"/>
          <a:chExt cx="17" cy="75"/>
        </a:xfrm>
      </xdr:grpSpPr>
      <xdr:sp macro="" textlink="">
        <xdr:nvSpPr>
          <xdr:cNvPr id="284" name="Rectangle 696">
            <a:extLst>
              <a:ext uri="{FF2B5EF4-FFF2-40B4-BE49-F238E27FC236}">
                <a16:creationId xmlns:a16="http://schemas.microsoft.com/office/drawing/2014/main" id="{00000000-0008-0000-0000-00001C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285" name="Rectangle 697">
            <a:extLst>
              <a:ext uri="{FF2B5EF4-FFF2-40B4-BE49-F238E27FC236}">
                <a16:creationId xmlns:a16="http://schemas.microsoft.com/office/drawing/2014/main" id="{00000000-0008-0000-0000-00001D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286" name="Freeform 698">
            <a:extLst>
              <a:ext uri="{FF2B5EF4-FFF2-40B4-BE49-F238E27FC236}">
                <a16:creationId xmlns:a16="http://schemas.microsoft.com/office/drawing/2014/main" id="{00000000-0008-0000-0000-00001E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571617</xdr:colOff>
      <xdr:row>55</xdr:row>
      <xdr:rowOff>0</xdr:rowOff>
    </xdr:from>
    <xdr:to>
      <xdr:col>1</xdr:col>
      <xdr:colOff>878534</xdr:colOff>
      <xdr:row>56</xdr:row>
      <xdr:rowOff>2566</xdr:rowOff>
    </xdr:to>
    <xdr:grpSp>
      <xdr:nvGrpSpPr>
        <xdr:cNvPr id="296" name="Group 1477">
          <a:extLst>
            <a:ext uri="{FF2B5EF4-FFF2-40B4-BE49-F238E27FC236}">
              <a16:creationId xmlns:a16="http://schemas.microsoft.com/office/drawing/2014/main" id="{00000000-0008-0000-0000-000028010000}"/>
            </a:ext>
          </a:extLst>
        </xdr:cNvPr>
        <xdr:cNvGrpSpPr>
          <a:grpSpLocks/>
        </xdr:cNvGrpSpPr>
      </xdr:nvGrpSpPr>
      <xdr:grpSpPr bwMode="auto">
        <a:xfrm>
          <a:off x="1170331" y="19899086"/>
          <a:ext cx="306917" cy="394451"/>
          <a:chOff x="1183" y="1087"/>
          <a:chExt cx="58" cy="159"/>
        </a:xfrm>
      </xdr:grpSpPr>
      <xdr:grpSp>
        <xdr:nvGrpSpPr>
          <xdr:cNvPr id="297" name="Group 1478">
            <a:extLst>
              <a:ext uri="{FF2B5EF4-FFF2-40B4-BE49-F238E27FC236}">
                <a16:creationId xmlns:a16="http://schemas.microsoft.com/office/drawing/2014/main" id="{00000000-0008-0000-0000-000029010000}"/>
              </a:ext>
            </a:extLst>
          </xdr:cNvPr>
          <xdr:cNvGrpSpPr>
            <a:grpSpLocks/>
          </xdr:cNvGrpSpPr>
        </xdr:nvGrpSpPr>
        <xdr:grpSpPr bwMode="auto">
          <a:xfrm>
            <a:off x="1183" y="1087"/>
            <a:ext cx="58" cy="152"/>
            <a:chOff x="49" y="586"/>
            <a:chExt cx="47" cy="91"/>
          </a:xfrm>
        </xdr:grpSpPr>
        <xdr:sp macro="" textlink="">
          <xdr:nvSpPr>
            <xdr:cNvPr id="300" name="Rectangle 1479">
              <a:extLst>
                <a:ext uri="{FF2B5EF4-FFF2-40B4-BE49-F238E27FC236}">
                  <a16:creationId xmlns:a16="http://schemas.microsoft.com/office/drawing/2014/main" id="{00000000-0008-0000-0000-00002C010000}"/>
                </a:ext>
              </a:extLst>
            </xdr:cNvPr>
            <xdr:cNvSpPr>
              <a:spLocks noChangeArrowheads="1"/>
            </xdr:cNvSpPr>
          </xdr:nvSpPr>
          <xdr:spPr bwMode="auto">
            <a:xfrm>
              <a:off x="49" y="589"/>
              <a:ext cx="47" cy="88"/>
            </a:xfrm>
            <a:prstGeom prst="rect">
              <a:avLst/>
            </a:prstGeom>
            <a:gradFill rotWithShape="0">
              <a:gsLst>
                <a:gs pos="0">
                  <a:srgbClr val="760000"/>
                </a:gs>
                <a:gs pos="50000">
                  <a:srgbClr val="FF0000"/>
                </a:gs>
                <a:gs pos="100000">
                  <a:srgbClr val="760000"/>
                </a:gs>
              </a:gsLst>
              <a:lin ang="0" scaled="1"/>
            </a:gradFill>
            <a:ln w="3175">
              <a:solidFill>
                <a:srgbClr val="000000"/>
              </a:solidFill>
              <a:miter lim="800000"/>
              <a:headEnd/>
              <a:tailEnd/>
            </a:ln>
          </xdr:spPr>
        </xdr:sp>
        <xdr:sp macro="" textlink="">
          <xdr:nvSpPr>
            <xdr:cNvPr id="301" name="Freeform 1480">
              <a:extLst>
                <a:ext uri="{FF2B5EF4-FFF2-40B4-BE49-F238E27FC236}">
                  <a16:creationId xmlns:a16="http://schemas.microsoft.com/office/drawing/2014/main" id="{00000000-0008-0000-0000-00002D010000}"/>
                </a:ext>
              </a:extLst>
            </xdr:cNvPr>
            <xdr:cNvSpPr>
              <a:spLocks/>
            </xdr:cNvSpPr>
          </xdr:nvSpPr>
          <xdr:spPr bwMode="auto">
            <a:xfrm>
              <a:off x="49" y="586"/>
              <a:ext cx="47" cy="3"/>
            </a:xfrm>
            <a:custGeom>
              <a:avLst/>
              <a:gdLst>
                <a:gd name="T0" fmla="*/ 0 w 51"/>
                <a:gd name="T1" fmla="*/ 3 h 3"/>
                <a:gd name="T2" fmla="*/ 4 w 51"/>
                <a:gd name="T3" fmla="*/ 0 h 3"/>
                <a:gd name="T4" fmla="*/ 6 w 51"/>
                <a:gd name="T5" fmla="*/ 0 h 3"/>
                <a:gd name="T6" fmla="*/ 6 w 51"/>
                <a:gd name="T7" fmla="*/ 3 h 3"/>
                <a:gd name="T8" fmla="*/ 0 w 51"/>
                <a:gd name="T9" fmla="*/ 3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3175" cap="flat" cmpd="sng">
              <a:solidFill>
                <a:srgbClr val="000000"/>
              </a:solidFill>
              <a:prstDash val="solid"/>
              <a:round/>
              <a:headEnd/>
              <a:tailEnd/>
            </a:ln>
          </xdr:spPr>
        </xdr:sp>
      </xdr:grpSp>
      <xdr:sp macro="" textlink="">
        <xdr:nvSpPr>
          <xdr:cNvPr id="298" name="Freeform 1481">
            <a:extLst>
              <a:ext uri="{FF2B5EF4-FFF2-40B4-BE49-F238E27FC236}">
                <a16:creationId xmlns:a16="http://schemas.microsoft.com/office/drawing/2014/main" id="{00000000-0008-0000-0000-00002A010000}"/>
              </a:ext>
            </a:extLst>
          </xdr:cNvPr>
          <xdr:cNvSpPr>
            <a:spLocks/>
          </xdr:cNvSpPr>
        </xdr:nvSpPr>
        <xdr:spPr bwMode="auto">
          <a:xfrm rot="10800000">
            <a:off x="1183" y="1236"/>
            <a:ext cx="58" cy="10"/>
          </a:xfrm>
          <a:custGeom>
            <a:avLst/>
            <a:gdLst>
              <a:gd name="T0" fmla="*/ 0 w 51"/>
              <a:gd name="T1" fmla="*/ 2147483647 h 3"/>
              <a:gd name="T2" fmla="*/ 471 w 51"/>
              <a:gd name="T3" fmla="*/ 0 h 3"/>
              <a:gd name="T4" fmla="*/ 4772 w 51"/>
              <a:gd name="T5" fmla="*/ 0 h 3"/>
              <a:gd name="T6" fmla="*/ 5193 w 51"/>
              <a:gd name="T7" fmla="*/ 2147483647 h 3"/>
              <a:gd name="T8" fmla="*/ 0 w 51"/>
              <a:gd name="T9" fmla="*/ 2147483647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3175" cap="flat" cmpd="sng">
            <a:solidFill>
              <a:srgbClr val="000000"/>
            </a:solidFill>
            <a:prstDash val="solid"/>
            <a:round/>
            <a:headEnd/>
            <a:tailEnd/>
          </a:ln>
        </xdr:spPr>
      </xdr:sp>
      <xdr:sp macro="" textlink="">
        <xdr:nvSpPr>
          <xdr:cNvPr id="299" name="AutoShape 1482">
            <a:extLst>
              <a:ext uri="{FF2B5EF4-FFF2-40B4-BE49-F238E27FC236}">
                <a16:creationId xmlns:a16="http://schemas.microsoft.com/office/drawing/2014/main" id="{00000000-0008-0000-0000-00002B010000}"/>
              </a:ext>
            </a:extLst>
          </xdr:cNvPr>
          <xdr:cNvSpPr>
            <a:spLocks noChangeArrowheads="1"/>
          </xdr:cNvSpPr>
        </xdr:nvSpPr>
        <xdr:spPr bwMode="auto">
          <a:xfrm rot="915307">
            <a:off x="1185" y="1129"/>
            <a:ext cx="52" cy="14"/>
          </a:xfrm>
          <a:prstGeom prst="can">
            <a:avLst>
              <a:gd name="adj" fmla="val 50000"/>
            </a:avLst>
          </a:prstGeom>
          <a:gradFill rotWithShape="1">
            <a:gsLst>
              <a:gs pos="0">
                <a:srgbClr val="595959"/>
              </a:gs>
              <a:gs pos="50000">
                <a:srgbClr val="C0C0C0"/>
              </a:gs>
              <a:gs pos="100000">
                <a:srgbClr val="595959"/>
              </a:gs>
            </a:gsLst>
            <a:lin ang="5400000" scaled="1"/>
          </a:gradFill>
          <a:ln w="9525">
            <a:solidFill>
              <a:srgbClr val="000000"/>
            </a:solidFill>
            <a:round/>
            <a:headEnd/>
            <a:tailEnd/>
          </a:ln>
        </xdr:spPr>
      </xdr:sp>
    </xdr:grpSp>
    <xdr:clientData/>
  </xdr:twoCellAnchor>
  <xdr:twoCellAnchor>
    <xdr:from>
      <xdr:col>1</xdr:col>
      <xdr:colOff>545030</xdr:colOff>
      <xdr:row>41</xdr:row>
      <xdr:rowOff>0</xdr:rowOff>
    </xdr:from>
    <xdr:to>
      <xdr:col>1</xdr:col>
      <xdr:colOff>817563</xdr:colOff>
      <xdr:row>41</xdr:row>
      <xdr:rowOff>279519</xdr:rowOff>
    </xdr:to>
    <xdr:grpSp>
      <xdr:nvGrpSpPr>
        <xdr:cNvPr id="312" name="Group 107">
          <a:extLst>
            <a:ext uri="{FF2B5EF4-FFF2-40B4-BE49-F238E27FC236}">
              <a16:creationId xmlns:a16="http://schemas.microsoft.com/office/drawing/2014/main" id="{00000000-0008-0000-0000-000038010000}"/>
            </a:ext>
          </a:extLst>
        </xdr:cNvPr>
        <xdr:cNvGrpSpPr>
          <a:grpSpLocks/>
        </xdr:cNvGrpSpPr>
      </xdr:nvGrpSpPr>
      <xdr:grpSpPr bwMode="auto">
        <a:xfrm>
          <a:off x="1143744" y="14641286"/>
          <a:ext cx="272533" cy="279519"/>
          <a:chOff x="164" y="352"/>
          <a:chExt cx="17" cy="20"/>
        </a:xfrm>
      </xdr:grpSpPr>
      <xdr:sp macro="" textlink="">
        <xdr:nvSpPr>
          <xdr:cNvPr id="313" name="Rectangle 108">
            <a:extLst>
              <a:ext uri="{FF2B5EF4-FFF2-40B4-BE49-F238E27FC236}">
                <a16:creationId xmlns:a16="http://schemas.microsoft.com/office/drawing/2014/main" id="{00000000-0008-0000-0000-000039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314" name="Line 109">
            <a:extLst>
              <a:ext uri="{FF2B5EF4-FFF2-40B4-BE49-F238E27FC236}">
                <a16:creationId xmlns:a16="http://schemas.microsoft.com/office/drawing/2014/main" id="{00000000-0008-0000-0000-00003A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315" name="Line 110">
            <a:extLst>
              <a:ext uri="{FF2B5EF4-FFF2-40B4-BE49-F238E27FC236}">
                <a16:creationId xmlns:a16="http://schemas.microsoft.com/office/drawing/2014/main" id="{00000000-0008-0000-0000-00003B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503423</xdr:colOff>
      <xdr:row>40</xdr:row>
      <xdr:rowOff>0</xdr:rowOff>
    </xdr:from>
    <xdr:to>
      <xdr:col>1</xdr:col>
      <xdr:colOff>857661</xdr:colOff>
      <xdr:row>41</xdr:row>
      <xdr:rowOff>0</xdr:rowOff>
    </xdr:to>
    <xdr:grpSp>
      <xdr:nvGrpSpPr>
        <xdr:cNvPr id="316" name="Group 6254">
          <a:extLst>
            <a:ext uri="{FF2B5EF4-FFF2-40B4-BE49-F238E27FC236}">
              <a16:creationId xmlns:a16="http://schemas.microsoft.com/office/drawing/2014/main" id="{00000000-0008-0000-0000-00003C010000}"/>
            </a:ext>
          </a:extLst>
        </xdr:cNvPr>
        <xdr:cNvGrpSpPr>
          <a:grpSpLocks/>
        </xdr:cNvGrpSpPr>
      </xdr:nvGrpSpPr>
      <xdr:grpSpPr bwMode="auto">
        <a:xfrm>
          <a:off x="1102137" y="14282057"/>
          <a:ext cx="354238" cy="359229"/>
          <a:chOff x="73" y="225"/>
          <a:chExt cx="17" cy="75"/>
        </a:xfrm>
      </xdr:grpSpPr>
      <xdr:sp macro="" textlink="">
        <xdr:nvSpPr>
          <xdr:cNvPr id="317" name="Rectangle 316">
            <a:extLst>
              <a:ext uri="{FF2B5EF4-FFF2-40B4-BE49-F238E27FC236}">
                <a16:creationId xmlns:a16="http://schemas.microsoft.com/office/drawing/2014/main" id="{00000000-0008-0000-0000-00003D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18" name="Rectangle 317">
            <a:extLst>
              <a:ext uri="{FF2B5EF4-FFF2-40B4-BE49-F238E27FC236}">
                <a16:creationId xmlns:a16="http://schemas.microsoft.com/office/drawing/2014/main" id="{00000000-0008-0000-0000-00003E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19" name="Freeform 318">
            <a:extLst>
              <a:ext uri="{FF2B5EF4-FFF2-40B4-BE49-F238E27FC236}">
                <a16:creationId xmlns:a16="http://schemas.microsoft.com/office/drawing/2014/main" id="{00000000-0008-0000-0000-00003F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542924</xdr:colOff>
      <xdr:row>32</xdr:row>
      <xdr:rowOff>1</xdr:rowOff>
    </xdr:from>
    <xdr:to>
      <xdr:col>1</xdr:col>
      <xdr:colOff>819149</xdr:colOff>
      <xdr:row>32</xdr:row>
      <xdr:rowOff>274108</xdr:rowOff>
    </xdr:to>
    <xdr:grpSp>
      <xdr:nvGrpSpPr>
        <xdr:cNvPr id="324" name="Group 107">
          <a:extLst>
            <a:ext uri="{FF2B5EF4-FFF2-40B4-BE49-F238E27FC236}">
              <a16:creationId xmlns:a16="http://schemas.microsoft.com/office/drawing/2014/main" id="{00000000-0008-0000-0000-000044010000}"/>
            </a:ext>
          </a:extLst>
        </xdr:cNvPr>
        <xdr:cNvGrpSpPr>
          <a:grpSpLocks/>
        </xdr:cNvGrpSpPr>
      </xdr:nvGrpSpPr>
      <xdr:grpSpPr bwMode="auto">
        <a:xfrm>
          <a:off x="1141638" y="12017830"/>
          <a:ext cx="276225" cy="274107"/>
          <a:chOff x="164" y="352"/>
          <a:chExt cx="17" cy="20"/>
        </a:xfrm>
      </xdr:grpSpPr>
      <xdr:sp macro="" textlink="">
        <xdr:nvSpPr>
          <xdr:cNvPr id="325" name="Rectangle 108">
            <a:extLst>
              <a:ext uri="{FF2B5EF4-FFF2-40B4-BE49-F238E27FC236}">
                <a16:creationId xmlns:a16="http://schemas.microsoft.com/office/drawing/2014/main" id="{00000000-0008-0000-0000-000045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326" name="Line 109">
            <a:extLst>
              <a:ext uri="{FF2B5EF4-FFF2-40B4-BE49-F238E27FC236}">
                <a16:creationId xmlns:a16="http://schemas.microsoft.com/office/drawing/2014/main" id="{00000000-0008-0000-0000-000046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327" name="Line 110">
            <a:extLst>
              <a:ext uri="{FF2B5EF4-FFF2-40B4-BE49-F238E27FC236}">
                <a16:creationId xmlns:a16="http://schemas.microsoft.com/office/drawing/2014/main" id="{00000000-0008-0000-0000-000047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556516</xdr:colOff>
      <xdr:row>64</xdr:row>
      <xdr:rowOff>387597</xdr:rowOff>
    </xdr:from>
    <xdr:to>
      <xdr:col>1</xdr:col>
      <xdr:colOff>874155</xdr:colOff>
      <xdr:row>65</xdr:row>
      <xdr:rowOff>248608</xdr:rowOff>
    </xdr:to>
    <xdr:grpSp>
      <xdr:nvGrpSpPr>
        <xdr:cNvPr id="366" name="Group 1510">
          <a:extLst>
            <a:ext uri="{FF2B5EF4-FFF2-40B4-BE49-F238E27FC236}">
              <a16:creationId xmlns:a16="http://schemas.microsoft.com/office/drawing/2014/main" id="{00000000-0008-0000-0000-00006E010000}"/>
            </a:ext>
          </a:extLst>
        </xdr:cNvPr>
        <xdr:cNvGrpSpPr>
          <a:grpSpLocks/>
        </xdr:cNvGrpSpPr>
      </xdr:nvGrpSpPr>
      <xdr:grpSpPr bwMode="auto">
        <a:xfrm>
          <a:off x="1155230" y="23487083"/>
          <a:ext cx="317639" cy="252896"/>
          <a:chOff x="1243" y="1313"/>
          <a:chExt cx="144" cy="264"/>
        </a:xfrm>
      </xdr:grpSpPr>
      <xdr:sp macro="" textlink="">
        <xdr:nvSpPr>
          <xdr:cNvPr id="367" name="Freeform 1511">
            <a:extLst>
              <a:ext uri="{FF2B5EF4-FFF2-40B4-BE49-F238E27FC236}">
                <a16:creationId xmlns:a16="http://schemas.microsoft.com/office/drawing/2014/main" id="{00000000-0008-0000-0000-00006F010000}"/>
              </a:ext>
            </a:extLst>
          </xdr:cNvPr>
          <xdr:cNvSpPr>
            <a:spLocks/>
          </xdr:cNvSpPr>
        </xdr:nvSpPr>
        <xdr:spPr bwMode="auto">
          <a:xfrm>
            <a:off x="1243" y="1313"/>
            <a:ext cx="144" cy="19"/>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952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sp macro="" textlink="">
        <xdr:nvSpPr>
          <xdr:cNvPr id="368" name="Rectangle 1512">
            <a:extLst>
              <a:ext uri="{FF2B5EF4-FFF2-40B4-BE49-F238E27FC236}">
                <a16:creationId xmlns:a16="http://schemas.microsoft.com/office/drawing/2014/main" id="{00000000-0008-0000-0000-000070010000}"/>
              </a:ext>
            </a:extLst>
          </xdr:cNvPr>
          <xdr:cNvSpPr>
            <a:spLocks noChangeArrowheads="1"/>
          </xdr:cNvSpPr>
        </xdr:nvSpPr>
        <xdr:spPr bwMode="auto">
          <a:xfrm>
            <a:off x="1301" y="1380"/>
            <a:ext cx="12" cy="19"/>
          </a:xfrm>
          <a:prstGeom prst="rect">
            <a:avLst/>
          </a:prstGeom>
          <a:gradFill rotWithShape="0">
            <a:gsLst>
              <a:gs pos="0">
                <a:srgbClr val="595959"/>
              </a:gs>
              <a:gs pos="50000">
                <a:srgbClr xmlns:mc="http://schemas.openxmlformats.org/markup-compatibility/2006" xmlns:a14="http://schemas.microsoft.com/office/drawing/2010/main" val="C0C0C0" mc:Ignorable="a14" a14:legacySpreadsheetColorIndex="22"/>
              </a:gs>
              <a:gs pos="100000">
                <a:srgbClr val="595959"/>
              </a:gs>
            </a:gsLst>
            <a:lin ang="0" scaled="1"/>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69" name="Freeform 1513">
            <a:extLst>
              <a:ext uri="{FF2B5EF4-FFF2-40B4-BE49-F238E27FC236}">
                <a16:creationId xmlns:a16="http://schemas.microsoft.com/office/drawing/2014/main" id="{00000000-0008-0000-0000-000071010000}"/>
              </a:ext>
            </a:extLst>
          </xdr:cNvPr>
          <xdr:cNvSpPr>
            <a:spLocks/>
          </xdr:cNvSpPr>
        </xdr:nvSpPr>
        <xdr:spPr bwMode="auto">
          <a:xfrm rot="10800000">
            <a:off x="1243" y="1558"/>
            <a:ext cx="144" cy="19"/>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952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sp macro="" textlink="">
        <xdr:nvSpPr>
          <xdr:cNvPr id="370" name="Rectangle 1514">
            <a:extLst>
              <a:ext uri="{FF2B5EF4-FFF2-40B4-BE49-F238E27FC236}">
                <a16:creationId xmlns:a16="http://schemas.microsoft.com/office/drawing/2014/main" id="{00000000-0008-0000-0000-000072010000}"/>
              </a:ext>
            </a:extLst>
          </xdr:cNvPr>
          <xdr:cNvSpPr>
            <a:spLocks noChangeArrowheads="1"/>
          </xdr:cNvSpPr>
        </xdr:nvSpPr>
        <xdr:spPr bwMode="auto">
          <a:xfrm>
            <a:off x="1243" y="1339"/>
            <a:ext cx="144" cy="226"/>
          </a:xfrm>
          <a:prstGeom prst="rect">
            <a:avLst/>
          </a:pr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71" name="Oval 1519">
            <a:extLst>
              <a:ext uri="{FF2B5EF4-FFF2-40B4-BE49-F238E27FC236}">
                <a16:creationId xmlns:a16="http://schemas.microsoft.com/office/drawing/2014/main" id="{00000000-0008-0000-0000-000073010000}"/>
              </a:ext>
            </a:extLst>
          </xdr:cNvPr>
          <xdr:cNvSpPr>
            <a:spLocks noChangeArrowheads="1"/>
          </xdr:cNvSpPr>
        </xdr:nvSpPr>
        <xdr:spPr bwMode="auto">
          <a:xfrm>
            <a:off x="1263" y="1374"/>
            <a:ext cx="16" cy="20"/>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72" name="Oval 1520">
            <a:extLst>
              <a:ext uri="{FF2B5EF4-FFF2-40B4-BE49-F238E27FC236}">
                <a16:creationId xmlns:a16="http://schemas.microsoft.com/office/drawing/2014/main" id="{00000000-0008-0000-0000-000074010000}"/>
              </a:ext>
            </a:extLst>
          </xdr:cNvPr>
          <xdr:cNvSpPr>
            <a:spLocks noChangeArrowheads="1"/>
          </xdr:cNvSpPr>
        </xdr:nvSpPr>
        <xdr:spPr bwMode="auto">
          <a:xfrm>
            <a:off x="1306" y="1377"/>
            <a:ext cx="16" cy="20"/>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73" name="Oval 1521">
            <a:extLst>
              <a:ext uri="{FF2B5EF4-FFF2-40B4-BE49-F238E27FC236}">
                <a16:creationId xmlns:a16="http://schemas.microsoft.com/office/drawing/2014/main" id="{00000000-0008-0000-0000-000075010000}"/>
              </a:ext>
            </a:extLst>
          </xdr:cNvPr>
          <xdr:cNvSpPr>
            <a:spLocks noChangeArrowheads="1"/>
          </xdr:cNvSpPr>
        </xdr:nvSpPr>
        <xdr:spPr bwMode="auto">
          <a:xfrm>
            <a:off x="1350" y="1376"/>
            <a:ext cx="16" cy="20"/>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xdr:col>
      <xdr:colOff>545933</xdr:colOff>
      <xdr:row>63</xdr:row>
      <xdr:rowOff>371928</xdr:rowOff>
    </xdr:from>
    <xdr:to>
      <xdr:col>1</xdr:col>
      <xdr:colOff>870857</xdr:colOff>
      <xdr:row>64</xdr:row>
      <xdr:rowOff>385044</xdr:rowOff>
    </xdr:to>
    <xdr:grpSp>
      <xdr:nvGrpSpPr>
        <xdr:cNvPr id="374" name="Group 6254">
          <a:extLst>
            <a:ext uri="{FF2B5EF4-FFF2-40B4-BE49-F238E27FC236}">
              <a16:creationId xmlns:a16="http://schemas.microsoft.com/office/drawing/2014/main" id="{00000000-0008-0000-0000-000076010000}"/>
            </a:ext>
          </a:extLst>
        </xdr:cNvPr>
        <xdr:cNvGrpSpPr>
          <a:grpSpLocks/>
        </xdr:cNvGrpSpPr>
      </xdr:nvGrpSpPr>
      <xdr:grpSpPr bwMode="auto">
        <a:xfrm flipH="1">
          <a:off x="1144647" y="23079528"/>
          <a:ext cx="324924" cy="405002"/>
          <a:chOff x="73" y="225"/>
          <a:chExt cx="17" cy="75"/>
        </a:xfrm>
      </xdr:grpSpPr>
      <xdr:sp macro="" textlink="">
        <xdr:nvSpPr>
          <xdr:cNvPr id="375" name="Rectangle 696">
            <a:extLst>
              <a:ext uri="{FF2B5EF4-FFF2-40B4-BE49-F238E27FC236}">
                <a16:creationId xmlns:a16="http://schemas.microsoft.com/office/drawing/2014/main" id="{00000000-0008-0000-0000-000077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76" name="Rectangle 697">
            <a:extLst>
              <a:ext uri="{FF2B5EF4-FFF2-40B4-BE49-F238E27FC236}">
                <a16:creationId xmlns:a16="http://schemas.microsoft.com/office/drawing/2014/main" id="{00000000-0008-0000-0000-000078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77" name="Freeform 698">
            <a:extLst>
              <a:ext uri="{FF2B5EF4-FFF2-40B4-BE49-F238E27FC236}">
                <a16:creationId xmlns:a16="http://schemas.microsoft.com/office/drawing/2014/main" id="{00000000-0008-0000-0000-000079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565588</xdr:colOff>
      <xdr:row>61</xdr:row>
      <xdr:rowOff>40566</xdr:rowOff>
    </xdr:from>
    <xdr:to>
      <xdr:col>1</xdr:col>
      <xdr:colOff>860865</xdr:colOff>
      <xdr:row>62</xdr:row>
      <xdr:rowOff>13907</xdr:rowOff>
    </xdr:to>
    <xdr:grpSp>
      <xdr:nvGrpSpPr>
        <xdr:cNvPr id="378" name="Group 107">
          <a:extLst>
            <a:ext uri="{FF2B5EF4-FFF2-40B4-BE49-F238E27FC236}">
              <a16:creationId xmlns:a16="http://schemas.microsoft.com/office/drawing/2014/main" id="{00000000-0008-0000-0000-00007A010000}"/>
            </a:ext>
          </a:extLst>
        </xdr:cNvPr>
        <xdr:cNvGrpSpPr>
          <a:grpSpLocks/>
        </xdr:cNvGrpSpPr>
      </xdr:nvGrpSpPr>
      <xdr:grpSpPr bwMode="auto">
        <a:xfrm>
          <a:off x="1164302" y="22171223"/>
          <a:ext cx="295277" cy="278141"/>
          <a:chOff x="164" y="352"/>
          <a:chExt cx="17" cy="20"/>
        </a:xfrm>
      </xdr:grpSpPr>
      <xdr:sp macro="" textlink="">
        <xdr:nvSpPr>
          <xdr:cNvPr id="379" name="Rectangle 108">
            <a:extLst>
              <a:ext uri="{FF2B5EF4-FFF2-40B4-BE49-F238E27FC236}">
                <a16:creationId xmlns:a16="http://schemas.microsoft.com/office/drawing/2014/main" id="{00000000-0008-0000-0000-00007B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380" name="Line 109">
            <a:extLst>
              <a:ext uri="{FF2B5EF4-FFF2-40B4-BE49-F238E27FC236}">
                <a16:creationId xmlns:a16="http://schemas.microsoft.com/office/drawing/2014/main" id="{00000000-0008-0000-0000-00007C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381" name="Line 110">
            <a:extLst>
              <a:ext uri="{FF2B5EF4-FFF2-40B4-BE49-F238E27FC236}">
                <a16:creationId xmlns:a16="http://schemas.microsoft.com/office/drawing/2014/main" id="{00000000-0008-0000-0000-00007D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553751</xdr:colOff>
      <xdr:row>65</xdr:row>
      <xdr:rowOff>254000</xdr:rowOff>
    </xdr:from>
    <xdr:to>
      <xdr:col>1</xdr:col>
      <xdr:colOff>874806</xdr:colOff>
      <xdr:row>67</xdr:row>
      <xdr:rowOff>23812</xdr:rowOff>
    </xdr:to>
    <xdr:grpSp>
      <xdr:nvGrpSpPr>
        <xdr:cNvPr id="382" name="Group 6254">
          <a:extLst>
            <a:ext uri="{FF2B5EF4-FFF2-40B4-BE49-F238E27FC236}">
              <a16:creationId xmlns:a16="http://schemas.microsoft.com/office/drawing/2014/main" id="{00000000-0008-0000-0000-00007E010000}"/>
            </a:ext>
          </a:extLst>
        </xdr:cNvPr>
        <xdr:cNvGrpSpPr>
          <a:grpSpLocks/>
        </xdr:cNvGrpSpPr>
      </xdr:nvGrpSpPr>
      <xdr:grpSpPr bwMode="auto">
        <a:xfrm>
          <a:off x="1152465" y="23745371"/>
          <a:ext cx="321055" cy="433841"/>
          <a:chOff x="73" y="225"/>
          <a:chExt cx="17" cy="75"/>
        </a:xfrm>
      </xdr:grpSpPr>
      <xdr:sp macro="" textlink="">
        <xdr:nvSpPr>
          <xdr:cNvPr id="383" name="Rectangle 696">
            <a:extLst>
              <a:ext uri="{FF2B5EF4-FFF2-40B4-BE49-F238E27FC236}">
                <a16:creationId xmlns:a16="http://schemas.microsoft.com/office/drawing/2014/main" id="{00000000-0008-0000-0000-00007F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84" name="Rectangle 697">
            <a:extLst>
              <a:ext uri="{FF2B5EF4-FFF2-40B4-BE49-F238E27FC236}">
                <a16:creationId xmlns:a16="http://schemas.microsoft.com/office/drawing/2014/main" id="{00000000-0008-0000-0000-000080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85" name="Freeform 698">
            <a:extLst>
              <a:ext uri="{FF2B5EF4-FFF2-40B4-BE49-F238E27FC236}">
                <a16:creationId xmlns:a16="http://schemas.microsoft.com/office/drawing/2014/main" id="{00000000-0008-0000-0000-000081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563956</xdr:colOff>
      <xdr:row>49</xdr:row>
      <xdr:rowOff>18143</xdr:rowOff>
    </xdr:from>
    <xdr:to>
      <xdr:col>1</xdr:col>
      <xdr:colOff>879930</xdr:colOff>
      <xdr:row>50</xdr:row>
      <xdr:rowOff>10702</xdr:rowOff>
    </xdr:to>
    <xdr:grpSp>
      <xdr:nvGrpSpPr>
        <xdr:cNvPr id="386" name="Group 6254">
          <a:extLst>
            <a:ext uri="{FF2B5EF4-FFF2-40B4-BE49-F238E27FC236}">
              <a16:creationId xmlns:a16="http://schemas.microsoft.com/office/drawing/2014/main" id="{00000000-0008-0000-0000-000082010000}"/>
            </a:ext>
          </a:extLst>
        </xdr:cNvPr>
        <xdr:cNvGrpSpPr>
          <a:grpSpLocks/>
        </xdr:cNvGrpSpPr>
      </xdr:nvGrpSpPr>
      <xdr:grpSpPr bwMode="auto">
        <a:xfrm>
          <a:off x="1162670" y="17304657"/>
          <a:ext cx="315974" cy="297359"/>
          <a:chOff x="73" y="225"/>
          <a:chExt cx="17" cy="75"/>
        </a:xfrm>
      </xdr:grpSpPr>
      <xdr:sp macro="" textlink="">
        <xdr:nvSpPr>
          <xdr:cNvPr id="387" name="Rectangle 696">
            <a:extLst>
              <a:ext uri="{FF2B5EF4-FFF2-40B4-BE49-F238E27FC236}">
                <a16:creationId xmlns:a16="http://schemas.microsoft.com/office/drawing/2014/main" id="{00000000-0008-0000-0000-000083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88" name="Rectangle 697">
            <a:extLst>
              <a:ext uri="{FF2B5EF4-FFF2-40B4-BE49-F238E27FC236}">
                <a16:creationId xmlns:a16="http://schemas.microsoft.com/office/drawing/2014/main" id="{00000000-0008-0000-0000-000084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89" name="Freeform 698">
            <a:extLst>
              <a:ext uri="{FF2B5EF4-FFF2-40B4-BE49-F238E27FC236}">
                <a16:creationId xmlns:a16="http://schemas.microsoft.com/office/drawing/2014/main" id="{00000000-0008-0000-0000-000085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556515</xdr:colOff>
      <xdr:row>62</xdr:row>
      <xdr:rowOff>907</xdr:rowOff>
    </xdr:from>
    <xdr:to>
      <xdr:col>1</xdr:col>
      <xdr:colOff>870856</xdr:colOff>
      <xdr:row>63</xdr:row>
      <xdr:rowOff>0</xdr:rowOff>
    </xdr:to>
    <xdr:grpSp>
      <xdr:nvGrpSpPr>
        <xdr:cNvPr id="390" name="Group 1510">
          <a:extLst>
            <a:ext uri="{FF2B5EF4-FFF2-40B4-BE49-F238E27FC236}">
              <a16:creationId xmlns:a16="http://schemas.microsoft.com/office/drawing/2014/main" id="{00000000-0008-0000-0000-000086010000}"/>
            </a:ext>
          </a:extLst>
        </xdr:cNvPr>
        <xdr:cNvGrpSpPr>
          <a:grpSpLocks/>
        </xdr:cNvGrpSpPr>
      </xdr:nvGrpSpPr>
      <xdr:grpSpPr bwMode="auto">
        <a:xfrm>
          <a:off x="1155229" y="22436364"/>
          <a:ext cx="314341" cy="271236"/>
          <a:chOff x="1243" y="1313"/>
          <a:chExt cx="144" cy="264"/>
        </a:xfrm>
      </xdr:grpSpPr>
      <xdr:sp macro="" textlink="">
        <xdr:nvSpPr>
          <xdr:cNvPr id="391" name="Freeform 1511">
            <a:extLst>
              <a:ext uri="{FF2B5EF4-FFF2-40B4-BE49-F238E27FC236}">
                <a16:creationId xmlns:a16="http://schemas.microsoft.com/office/drawing/2014/main" id="{00000000-0008-0000-0000-000087010000}"/>
              </a:ext>
            </a:extLst>
          </xdr:cNvPr>
          <xdr:cNvSpPr>
            <a:spLocks/>
          </xdr:cNvSpPr>
        </xdr:nvSpPr>
        <xdr:spPr bwMode="auto">
          <a:xfrm>
            <a:off x="1243" y="1313"/>
            <a:ext cx="144" cy="19"/>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952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sp macro="" textlink="">
        <xdr:nvSpPr>
          <xdr:cNvPr id="392" name="Rectangle 1512">
            <a:extLst>
              <a:ext uri="{FF2B5EF4-FFF2-40B4-BE49-F238E27FC236}">
                <a16:creationId xmlns:a16="http://schemas.microsoft.com/office/drawing/2014/main" id="{00000000-0008-0000-0000-000088010000}"/>
              </a:ext>
            </a:extLst>
          </xdr:cNvPr>
          <xdr:cNvSpPr>
            <a:spLocks noChangeArrowheads="1"/>
          </xdr:cNvSpPr>
        </xdr:nvSpPr>
        <xdr:spPr bwMode="auto">
          <a:xfrm>
            <a:off x="1301" y="1380"/>
            <a:ext cx="12" cy="19"/>
          </a:xfrm>
          <a:prstGeom prst="rect">
            <a:avLst/>
          </a:prstGeom>
          <a:gradFill rotWithShape="0">
            <a:gsLst>
              <a:gs pos="0">
                <a:srgbClr val="595959"/>
              </a:gs>
              <a:gs pos="50000">
                <a:srgbClr xmlns:mc="http://schemas.openxmlformats.org/markup-compatibility/2006" xmlns:a14="http://schemas.microsoft.com/office/drawing/2010/main" val="C0C0C0" mc:Ignorable="a14" a14:legacySpreadsheetColorIndex="22"/>
              </a:gs>
              <a:gs pos="100000">
                <a:srgbClr val="595959"/>
              </a:gs>
            </a:gsLst>
            <a:lin ang="0" scaled="1"/>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93" name="Freeform 1513">
            <a:extLst>
              <a:ext uri="{FF2B5EF4-FFF2-40B4-BE49-F238E27FC236}">
                <a16:creationId xmlns:a16="http://schemas.microsoft.com/office/drawing/2014/main" id="{00000000-0008-0000-0000-000089010000}"/>
              </a:ext>
            </a:extLst>
          </xdr:cNvPr>
          <xdr:cNvSpPr>
            <a:spLocks/>
          </xdr:cNvSpPr>
        </xdr:nvSpPr>
        <xdr:spPr bwMode="auto">
          <a:xfrm rot="10800000">
            <a:off x="1243" y="1558"/>
            <a:ext cx="144" cy="19"/>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952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sp macro="" textlink="">
        <xdr:nvSpPr>
          <xdr:cNvPr id="394" name="Rectangle 1514">
            <a:extLst>
              <a:ext uri="{FF2B5EF4-FFF2-40B4-BE49-F238E27FC236}">
                <a16:creationId xmlns:a16="http://schemas.microsoft.com/office/drawing/2014/main" id="{00000000-0008-0000-0000-00008A010000}"/>
              </a:ext>
            </a:extLst>
          </xdr:cNvPr>
          <xdr:cNvSpPr>
            <a:spLocks noChangeArrowheads="1"/>
          </xdr:cNvSpPr>
        </xdr:nvSpPr>
        <xdr:spPr bwMode="auto">
          <a:xfrm>
            <a:off x="1243" y="1339"/>
            <a:ext cx="144" cy="226"/>
          </a:xfrm>
          <a:prstGeom prst="rect">
            <a:avLst/>
          </a:pr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95" name="Oval 1519">
            <a:extLst>
              <a:ext uri="{FF2B5EF4-FFF2-40B4-BE49-F238E27FC236}">
                <a16:creationId xmlns:a16="http://schemas.microsoft.com/office/drawing/2014/main" id="{00000000-0008-0000-0000-00008B010000}"/>
              </a:ext>
            </a:extLst>
          </xdr:cNvPr>
          <xdr:cNvSpPr>
            <a:spLocks noChangeArrowheads="1"/>
          </xdr:cNvSpPr>
        </xdr:nvSpPr>
        <xdr:spPr bwMode="auto">
          <a:xfrm>
            <a:off x="1263" y="1374"/>
            <a:ext cx="16" cy="20"/>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96" name="Oval 1520">
            <a:extLst>
              <a:ext uri="{FF2B5EF4-FFF2-40B4-BE49-F238E27FC236}">
                <a16:creationId xmlns:a16="http://schemas.microsoft.com/office/drawing/2014/main" id="{00000000-0008-0000-0000-00008C010000}"/>
              </a:ext>
            </a:extLst>
          </xdr:cNvPr>
          <xdr:cNvSpPr>
            <a:spLocks noChangeArrowheads="1"/>
          </xdr:cNvSpPr>
        </xdr:nvSpPr>
        <xdr:spPr bwMode="auto">
          <a:xfrm>
            <a:off x="1306" y="1377"/>
            <a:ext cx="16" cy="20"/>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397" name="Oval 1521">
            <a:extLst>
              <a:ext uri="{FF2B5EF4-FFF2-40B4-BE49-F238E27FC236}">
                <a16:creationId xmlns:a16="http://schemas.microsoft.com/office/drawing/2014/main" id="{00000000-0008-0000-0000-00008D010000}"/>
              </a:ext>
            </a:extLst>
          </xdr:cNvPr>
          <xdr:cNvSpPr>
            <a:spLocks noChangeArrowheads="1"/>
          </xdr:cNvSpPr>
        </xdr:nvSpPr>
        <xdr:spPr bwMode="auto">
          <a:xfrm>
            <a:off x="1350" y="1376"/>
            <a:ext cx="16" cy="20"/>
          </a:xfrm>
          <a:prstGeom prst="ellipse">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xdr:col>
      <xdr:colOff>517071</xdr:colOff>
      <xdr:row>10</xdr:row>
      <xdr:rowOff>0</xdr:rowOff>
    </xdr:from>
    <xdr:to>
      <xdr:col>1</xdr:col>
      <xdr:colOff>831396</xdr:colOff>
      <xdr:row>10</xdr:row>
      <xdr:rowOff>289092</xdr:rowOff>
    </xdr:to>
    <xdr:grpSp>
      <xdr:nvGrpSpPr>
        <xdr:cNvPr id="398" name="Group 6254">
          <a:extLst>
            <a:ext uri="{FF2B5EF4-FFF2-40B4-BE49-F238E27FC236}">
              <a16:creationId xmlns:a16="http://schemas.microsoft.com/office/drawing/2014/main" id="{00000000-0008-0000-0000-00008E010000}"/>
            </a:ext>
          </a:extLst>
        </xdr:cNvPr>
        <xdr:cNvGrpSpPr>
          <a:grpSpLocks/>
        </xdr:cNvGrpSpPr>
      </xdr:nvGrpSpPr>
      <xdr:grpSpPr bwMode="auto">
        <a:xfrm>
          <a:off x="1115785" y="3690257"/>
          <a:ext cx="314325" cy="289092"/>
          <a:chOff x="73" y="225"/>
          <a:chExt cx="17" cy="75"/>
        </a:xfrm>
      </xdr:grpSpPr>
      <xdr:sp macro="" textlink="">
        <xdr:nvSpPr>
          <xdr:cNvPr id="399" name="Rectangle 696">
            <a:extLst>
              <a:ext uri="{FF2B5EF4-FFF2-40B4-BE49-F238E27FC236}">
                <a16:creationId xmlns:a16="http://schemas.microsoft.com/office/drawing/2014/main" id="{00000000-0008-0000-0000-00008F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400" name="Rectangle 697">
            <a:extLst>
              <a:ext uri="{FF2B5EF4-FFF2-40B4-BE49-F238E27FC236}">
                <a16:creationId xmlns:a16="http://schemas.microsoft.com/office/drawing/2014/main" id="{00000000-0008-0000-0000-000090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401" name="Freeform 698">
            <a:extLst>
              <a:ext uri="{FF2B5EF4-FFF2-40B4-BE49-F238E27FC236}">
                <a16:creationId xmlns:a16="http://schemas.microsoft.com/office/drawing/2014/main" id="{00000000-0008-0000-0000-000091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532379</xdr:colOff>
      <xdr:row>6</xdr:row>
      <xdr:rowOff>261936</xdr:rowOff>
    </xdr:from>
    <xdr:to>
      <xdr:col>1</xdr:col>
      <xdr:colOff>846704</xdr:colOff>
      <xdr:row>6</xdr:row>
      <xdr:rowOff>531821</xdr:rowOff>
    </xdr:to>
    <xdr:grpSp>
      <xdr:nvGrpSpPr>
        <xdr:cNvPr id="402" name="Group 107">
          <a:extLst>
            <a:ext uri="{FF2B5EF4-FFF2-40B4-BE49-F238E27FC236}">
              <a16:creationId xmlns:a16="http://schemas.microsoft.com/office/drawing/2014/main" id="{00000000-0008-0000-0000-000092010000}"/>
            </a:ext>
          </a:extLst>
        </xdr:cNvPr>
        <xdr:cNvGrpSpPr>
          <a:grpSpLocks/>
        </xdr:cNvGrpSpPr>
      </xdr:nvGrpSpPr>
      <xdr:grpSpPr bwMode="auto">
        <a:xfrm>
          <a:off x="1131093" y="2199593"/>
          <a:ext cx="314325" cy="269885"/>
          <a:chOff x="164" y="352"/>
          <a:chExt cx="17" cy="20"/>
        </a:xfrm>
      </xdr:grpSpPr>
      <xdr:sp macro="" textlink="">
        <xdr:nvSpPr>
          <xdr:cNvPr id="403" name="Rectangle 108">
            <a:extLst>
              <a:ext uri="{FF2B5EF4-FFF2-40B4-BE49-F238E27FC236}">
                <a16:creationId xmlns:a16="http://schemas.microsoft.com/office/drawing/2014/main" id="{00000000-0008-0000-0000-000093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404" name="Line 109">
            <a:extLst>
              <a:ext uri="{FF2B5EF4-FFF2-40B4-BE49-F238E27FC236}">
                <a16:creationId xmlns:a16="http://schemas.microsoft.com/office/drawing/2014/main" id="{00000000-0008-0000-0000-000094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405" name="Line 110">
            <a:extLst>
              <a:ext uri="{FF2B5EF4-FFF2-40B4-BE49-F238E27FC236}">
                <a16:creationId xmlns:a16="http://schemas.microsoft.com/office/drawing/2014/main" id="{00000000-0008-0000-0000-000095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517070</xdr:colOff>
      <xdr:row>9</xdr:row>
      <xdr:rowOff>283483</xdr:rowOff>
    </xdr:from>
    <xdr:to>
      <xdr:col>1</xdr:col>
      <xdr:colOff>831395</xdr:colOff>
      <xdr:row>10</xdr:row>
      <xdr:rowOff>5610</xdr:rowOff>
    </xdr:to>
    <xdr:grpSp>
      <xdr:nvGrpSpPr>
        <xdr:cNvPr id="406" name="Group 6254">
          <a:extLst>
            <a:ext uri="{FF2B5EF4-FFF2-40B4-BE49-F238E27FC236}">
              <a16:creationId xmlns:a16="http://schemas.microsoft.com/office/drawing/2014/main" id="{00000000-0008-0000-0000-000096010000}"/>
            </a:ext>
          </a:extLst>
        </xdr:cNvPr>
        <xdr:cNvGrpSpPr>
          <a:grpSpLocks/>
        </xdr:cNvGrpSpPr>
      </xdr:nvGrpSpPr>
      <xdr:grpSpPr bwMode="auto">
        <a:xfrm>
          <a:off x="1115784" y="3679826"/>
          <a:ext cx="314325" cy="16041"/>
          <a:chOff x="73" y="225"/>
          <a:chExt cx="17" cy="75"/>
        </a:xfrm>
      </xdr:grpSpPr>
      <xdr:sp macro="" textlink="">
        <xdr:nvSpPr>
          <xdr:cNvPr id="407" name="Rectangle 696">
            <a:extLst>
              <a:ext uri="{FF2B5EF4-FFF2-40B4-BE49-F238E27FC236}">
                <a16:creationId xmlns:a16="http://schemas.microsoft.com/office/drawing/2014/main" id="{00000000-0008-0000-0000-000097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408" name="Rectangle 697">
            <a:extLst>
              <a:ext uri="{FF2B5EF4-FFF2-40B4-BE49-F238E27FC236}">
                <a16:creationId xmlns:a16="http://schemas.microsoft.com/office/drawing/2014/main" id="{00000000-0008-0000-0000-000098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409" name="Freeform 698">
            <a:extLst>
              <a:ext uri="{FF2B5EF4-FFF2-40B4-BE49-F238E27FC236}">
                <a16:creationId xmlns:a16="http://schemas.microsoft.com/office/drawing/2014/main" id="{00000000-0008-0000-0000-000099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517071</xdr:colOff>
      <xdr:row>11</xdr:row>
      <xdr:rowOff>0</xdr:rowOff>
    </xdr:from>
    <xdr:to>
      <xdr:col>1</xdr:col>
      <xdr:colOff>831396</xdr:colOff>
      <xdr:row>11</xdr:row>
      <xdr:rowOff>269886</xdr:rowOff>
    </xdr:to>
    <xdr:grpSp>
      <xdr:nvGrpSpPr>
        <xdr:cNvPr id="410" name="Group 107">
          <a:extLst>
            <a:ext uri="{FF2B5EF4-FFF2-40B4-BE49-F238E27FC236}">
              <a16:creationId xmlns:a16="http://schemas.microsoft.com/office/drawing/2014/main" id="{00000000-0008-0000-0000-00009A010000}"/>
            </a:ext>
          </a:extLst>
        </xdr:cNvPr>
        <xdr:cNvGrpSpPr>
          <a:grpSpLocks/>
        </xdr:cNvGrpSpPr>
      </xdr:nvGrpSpPr>
      <xdr:grpSpPr bwMode="auto">
        <a:xfrm>
          <a:off x="1115785" y="3984171"/>
          <a:ext cx="314325" cy="269886"/>
          <a:chOff x="164" y="352"/>
          <a:chExt cx="17" cy="20"/>
        </a:xfrm>
      </xdr:grpSpPr>
      <xdr:sp macro="" textlink="">
        <xdr:nvSpPr>
          <xdr:cNvPr id="411" name="Rectangle 108">
            <a:extLst>
              <a:ext uri="{FF2B5EF4-FFF2-40B4-BE49-F238E27FC236}">
                <a16:creationId xmlns:a16="http://schemas.microsoft.com/office/drawing/2014/main" id="{00000000-0008-0000-0000-00009B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412" name="Line 109">
            <a:extLst>
              <a:ext uri="{FF2B5EF4-FFF2-40B4-BE49-F238E27FC236}">
                <a16:creationId xmlns:a16="http://schemas.microsoft.com/office/drawing/2014/main" id="{00000000-0008-0000-0000-00009C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413" name="Line 110">
            <a:extLst>
              <a:ext uri="{FF2B5EF4-FFF2-40B4-BE49-F238E27FC236}">
                <a16:creationId xmlns:a16="http://schemas.microsoft.com/office/drawing/2014/main" id="{00000000-0008-0000-0000-00009D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oneCellAnchor>
    <xdr:from>
      <xdr:col>1</xdr:col>
      <xdr:colOff>533400</xdr:colOff>
      <xdr:row>36</xdr:row>
      <xdr:rowOff>0</xdr:rowOff>
    </xdr:from>
    <xdr:ext cx="342900" cy="328841"/>
    <xdr:pic>
      <xdr:nvPicPr>
        <xdr:cNvPr id="414" name="Picture 19">
          <a:extLst>
            <a:ext uri="{FF2B5EF4-FFF2-40B4-BE49-F238E27FC236}">
              <a16:creationId xmlns:a16="http://schemas.microsoft.com/office/drawing/2014/main" id="{00000000-0008-0000-0000-00009E01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49350" y="12045950"/>
          <a:ext cx="342900" cy="328841"/>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522817</xdr:colOff>
      <xdr:row>36</xdr:row>
      <xdr:rowOff>0</xdr:rowOff>
    </xdr:from>
    <xdr:ext cx="342900" cy="328841"/>
    <xdr:pic>
      <xdr:nvPicPr>
        <xdr:cNvPr id="415" name="Picture 19">
          <a:extLst>
            <a:ext uri="{FF2B5EF4-FFF2-40B4-BE49-F238E27FC236}">
              <a16:creationId xmlns:a16="http://schemas.microsoft.com/office/drawing/2014/main" id="{00000000-0008-0000-0000-00009F01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38767" y="12045950"/>
          <a:ext cx="342900" cy="328841"/>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oneCellAnchor>
    <xdr:from>
      <xdr:col>1</xdr:col>
      <xdr:colOff>522817</xdr:colOff>
      <xdr:row>36</xdr:row>
      <xdr:rowOff>0</xdr:rowOff>
    </xdr:from>
    <xdr:ext cx="342900" cy="328837"/>
    <xdr:pic>
      <xdr:nvPicPr>
        <xdr:cNvPr id="416" name="Picture 19">
          <a:extLst>
            <a:ext uri="{FF2B5EF4-FFF2-40B4-BE49-F238E27FC236}">
              <a16:creationId xmlns:a16="http://schemas.microsoft.com/office/drawing/2014/main" id="{00000000-0008-0000-0000-0000A001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38767" y="12045950"/>
          <a:ext cx="342900" cy="32883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oneCellAnchor>
  <xdr:twoCellAnchor>
    <xdr:from>
      <xdr:col>1</xdr:col>
      <xdr:colOff>567840</xdr:colOff>
      <xdr:row>80</xdr:row>
      <xdr:rowOff>0</xdr:rowOff>
    </xdr:from>
    <xdr:to>
      <xdr:col>1</xdr:col>
      <xdr:colOff>843801</xdr:colOff>
      <xdr:row>81</xdr:row>
      <xdr:rowOff>0</xdr:rowOff>
    </xdr:to>
    <xdr:grpSp>
      <xdr:nvGrpSpPr>
        <xdr:cNvPr id="417" name="Group 466">
          <a:extLst>
            <a:ext uri="{FF2B5EF4-FFF2-40B4-BE49-F238E27FC236}">
              <a16:creationId xmlns:a16="http://schemas.microsoft.com/office/drawing/2014/main" id="{00000000-0008-0000-0000-0000A1010000}"/>
            </a:ext>
          </a:extLst>
        </xdr:cNvPr>
        <xdr:cNvGrpSpPr>
          <a:grpSpLocks/>
        </xdr:cNvGrpSpPr>
      </xdr:nvGrpSpPr>
      <xdr:grpSpPr bwMode="auto">
        <a:xfrm>
          <a:off x="1166554" y="28825371"/>
          <a:ext cx="275961" cy="370115"/>
          <a:chOff x="401" y="230"/>
          <a:chExt cx="95" cy="183"/>
        </a:xfrm>
      </xdr:grpSpPr>
      <xdr:grpSp>
        <xdr:nvGrpSpPr>
          <xdr:cNvPr id="418" name="Group 467">
            <a:extLst>
              <a:ext uri="{FF2B5EF4-FFF2-40B4-BE49-F238E27FC236}">
                <a16:creationId xmlns:a16="http://schemas.microsoft.com/office/drawing/2014/main" id="{00000000-0008-0000-0000-0000A2010000}"/>
              </a:ext>
            </a:extLst>
          </xdr:cNvPr>
          <xdr:cNvGrpSpPr>
            <a:grpSpLocks/>
          </xdr:cNvGrpSpPr>
        </xdr:nvGrpSpPr>
        <xdr:grpSpPr bwMode="auto">
          <a:xfrm>
            <a:off x="401" y="230"/>
            <a:ext cx="95" cy="183"/>
            <a:chOff x="390" y="230"/>
            <a:chExt cx="182" cy="165"/>
          </a:xfrm>
        </xdr:grpSpPr>
        <xdr:sp macro="" textlink="">
          <xdr:nvSpPr>
            <xdr:cNvPr id="429" name="Freeform 468">
              <a:extLst>
                <a:ext uri="{FF2B5EF4-FFF2-40B4-BE49-F238E27FC236}">
                  <a16:creationId xmlns:a16="http://schemas.microsoft.com/office/drawing/2014/main" id="{00000000-0008-0000-0000-0000AD01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430" name="Rectangle 469">
              <a:extLst>
                <a:ext uri="{FF2B5EF4-FFF2-40B4-BE49-F238E27FC236}">
                  <a16:creationId xmlns:a16="http://schemas.microsoft.com/office/drawing/2014/main" id="{00000000-0008-0000-0000-0000AE010000}"/>
                </a:ext>
              </a:extLst>
            </xdr:cNvPr>
            <xdr:cNvSpPr>
              <a:spLocks noChangeArrowheads="1"/>
            </xdr:cNvSpPr>
          </xdr:nvSpPr>
          <xdr:spPr bwMode="auto">
            <a:xfrm>
              <a:off x="391" y="237"/>
              <a:ext cx="180" cy="152"/>
            </a:xfrm>
            <a:prstGeom prst="rect">
              <a:avLst/>
            </a:prstGeom>
            <a:gradFill rotWithShape="0">
              <a:gsLst>
                <a:gs pos="0">
                  <a:srgbClr val="008B00"/>
                </a:gs>
                <a:gs pos="50000">
                  <a:srgbClr val="00FF00"/>
                </a:gs>
                <a:gs pos="100000">
                  <a:srgbClr val="008B00"/>
                </a:gs>
              </a:gsLst>
              <a:lin ang="0" scaled="1"/>
            </a:grad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431" name="Freeform 470">
              <a:extLst>
                <a:ext uri="{FF2B5EF4-FFF2-40B4-BE49-F238E27FC236}">
                  <a16:creationId xmlns:a16="http://schemas.microsoft.com/office/drawing/2014/main" id="{00000000-0008-0000-0000-0000AF01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419" name="Group 471">
            <a:extLst>
              <a:ext uri="{FF2B5EF4-FFF2-40B4-BE49-F238E27FC236}">
                <a16:creationId xmlns:a16="http://schemas.microsoft.com/office/drawing/2014/main" id="{00000000-0008-0000-0000-0000A3010000}"/>
              </a:ext>
            </a:extLst>
          </xdr:cNvPr>
          <xdr:cNvGrpSpPr>
            <a:grpSpLocks/>
          </xdr:cNvGrpSpPr>
        </xdr:nvGrpSpPr>
        <xdr:grpSpPr bwMode="auto">
          <a:xfrm>
            <a:off x="402" y="246"/>
            <a:ext cx="94" cy="152"/>
            <a:chOff x="402" y="246"/>
            <a:chExt cx="94" cy="152"/>
          </a:xfrm>
        </xdr:grpSpPr>
        <xdr:sp macro="" textlink="">
          <xdr:nvSpPr>
            <xdr:cNvPr id="420" name="Oval 472">
              <a:extLst>
                <a:ext uri="{FF2B5EF4-FFF2-40B4-BE49-F238E27FC236}">
                  <a16:creationId xmlns:a16="http://schemas.microsoft.com/office/drawing/2014/main" id="{00000000-0008-0000-0000-0000A4010000}"/>
                </a:ext>
              </a:extLst>
            </xdr:cNvPr>
            <xdr:cNvSpPr>
              <a:spLocks noChangeArrowheads="1"/>
            </xdr:cNvSpPr>
          </xdr:nvSpPr>
          <xdr:spPr bwMode="auto">
            <a:xfrm>
              <a:off x="439" y="246"/>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421" name="AutoShape 473">
              <a:extLst>
                <a:ext uri="{FF2B5EF4-FFF2-40B4-BE49-F238E27FC236}">
                  <a16:creationId xmlns:a16="http://schemas.microsoft.com/office/drawing/2014/main" id="{00000000-0008-0000-0000-0000A5010000}"/>
                </a:ext>
              </a:extLst>
            </xdr:cNvPr>
            <xdr:cNvSpPr>
              <a:spLocks noChangeArrowheads="1"/>
            </xdr:cNvSpPr>
          </xdr:nvSpPr>
          <xdr:spPr bwMode="auto">
            <a:xfrm>
              <a:off x="402" y="274"/>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422" name="Oval 474">
              <a:extLst>
                <a:ext uri="{FF2B5EF4-FFF2-40B4-BE49-F238E27FC236}">
                  <a16:creationId xmlns:a16="http://schemas.microsoft.com/office/drawing/2014/main" id="{00000000-0008-0000-0000-0000A6010000}"/>
                </a:ext>
              </a:extLst>
            </xdr:cNvPr>
            <xdr:cNvSpPr>
              <a:spLocks noChangeArrowheads="1"/>
            </xdr:cNvSpPr>
          </xdr:nvSpPr>
          <xdr:spPr bwMode="auto">
            <a:xfrm>
              <a:off x="439" y="300"/>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423" name="AutoShape 475">
              <a:extLst>
                <a:ext uri="{FF2B5EF4-FFF2-40B4-BE49-F238E27FC236}">
                  <a16:creationId xmlns:a16="http://schemas.microsoft.com/office/drawing/2014/main" id="{00000000-0008-0000-0000-0000A7010000}"/>
                </a:ext>
              </a:extLst>
            </xdr:cNvPr>
            <xdr:cNvSpPr>
              <a:spLocks noChangeArrowheads="1"/>
            </xdr:cNvSpPr>
          </xdr:nvSpPr>
          <xdr:spPr bwMode="auto">
            <a:xfrm flipH="1">
              <a:off x="484" y="275"/>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424" name="AutoShape 476">
              <a:extLst>
                <a:ext uri="{FF2B5EF4-FFF2-40B4-BE49-F238E27FC236}">
                  <a16:creationId xmlns:a16="http://schemas.microsoft.com/office/drawing/2014/main" id="{00000000-0008-0000-0000-0000A8010000}"/>
                </a:ext>
              </a:extLst>
            </xdr:cNvPr>
            <xdr:cNvSpPr>
              <a:spLocks noChangeArrowheads="1"/>
            </xdr:cNvSpPr>
          </xdr:nvSpPr>
          <xdr:spPr bwMode="auto">
            <a:xfrm>
              <a:off x="402"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425" name="Oval 477">
              <a:extLst>
                <a:ext uri="{FF2B5EF4-FFF2-40B4-BE49-F238E27FC236}">
                  <a16:creationId xmlns:a16="http://schemas.microsoft.com/office/drawing/2014/main" id="{00000000-0008-0000-0000-0000A9010000}"/>
                </a:ext>
              </a:extLst>
            </xdr:cNvPr>
            <xdr:cNvSpPr>
              <a:spLocks noChangeArrowheads="1"/>
            </xdr:cNvSpPr>
          </xdr:nvSpPr>
          <xdr:spPr bwMode="auto">
            <a:xfrm>
              <a:off x="438" y="354"/>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426" name="AutoShape 478">
              <a:extLst>
                <a:ext uri="{FF2B5EF4-FFF2-40B4-BE49-F238E27FC236}">
                  <a16:creationId xmlns:a16="http://schemas.microsoft.com/office/drawing/2014/main" id="{00000000-0008-0000-0000-0000AA010000}"/>
                </a:ext>
              </a:extLst>
            </xdr:cNvPr>
            <xdr:cNvSpPr>
              <a:spLocks noChangeArrowheads="1"/>
            </xdr:cNvSpPr>
          </xdr:nvSpPr>
          <xdr:spPr bwMode="auto">
            <a:xfrm flipH="1">
              <a:off x="484"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427" name="AutoShape 479">
              <a:extLst>
                <a:ext uri="{FF2B5EF4-FFF2-40B4-BE49-F238E27FC236}">
                  <a16:creationId xmlns:a16="http://schemas.microsoft.com/office/drawing/2014/main" id="{00000000-0008-0000-0000-0000AB010000}"/>
                </a:ext>
              </a:extLst>
            </xdr:cNvPr>
            <xdr:cNvSpPr>
              <a:spLocks noChangeArrowheads="1"/>
            </xdr:cNvSpPr>
          </xdr:nvSpPr>
          <xdr:spPr bwMode="auto">
            <a:xfrm>
              <a:off x="402" y="380"/>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428" name="AutoShape 480">
              <a:extLst>
                <a:ext uri="{FF2B5EF4-FFF2-40B4-BE49-F238E27FC236}">
                  <a16:creationId xmlns:a16="http://schemas.microsoft.com/office/drawing/2014/main" id="{00000000-0008-0000-0000-0000AC010000}"/>
                </a:ext>
              </a:extLst>
            </xdr:cNvPr>
            <xdr:cNvSpPr>
              <a:spLocks noChangeArrowheads="1"/>
            </xdr:cNvSpPr>
          </xdr:nvSpPr>
          <xdr:spPr bwMode="auto">
            <a:xfrm flipH="1">
              <a:off x="484" y="381"/>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grpSp>
    </xdr:grpSp>
    <xdr:clientData/>
  </xdr:twoCellAnchor>
  <xdr:twoCellAnchor>
    <xdr:from>
      <xdr:col>1</xdr:col>
      <xdr:colOff>848075</xdr:colOff>
      <xdr:row>80</xdr:row>
      <xdr:rowOff>23812</xdr:rowOff>
    </xdr:from>
    <xdr:to>
      <xdr:col>1</xdr:col>
      <xdr:colOff>1190975</xdr:colOff>
      <xdr:row>80</xdr:row>
      <xdr:rowOff>350065</xdr:rowOff>
    </xdr:to>
    <xdr:grpSp>
      <xdr:nvGrpSpPr>
        <xdr:cNvPr id="432" name="Group 481">
          <a:extLst>
            <a:ext uri="{FF2B5EF4-FFF2-40B4-BE49-F238E27FC236}">
              <a16:creationId xmlns:a16="http://schemas.microsoft.com/office/drawing/2014/main" id="{00000000-0008-0000-0000-0000B0010000}"/>
            </a:ext>
          </a:extLst>
        </xdr:cNvPr>
        <xdr:cNvGrpSpPr>
          <a:grpSpLocks/>
        </xdr:cNvGrpSpPr>
      </xdr:nvGrpSpPr>
      <xdr:grpSpPr bwMode="auto">
        <a:xfrm rot="10840149" flipH="1">
          <a:off x="1446789" y="28849183"/>
          <a:ext cx="342900" cy="326253"/>
          <a:chOff x="98" y="425"/>
          <a:chExt cx="93" cy="103"/>
        </a:xfrm>
      </xdr:grpSpPr>
      <xdr:sp macro="" textlink="">
        <xdr:nvSpPr>
          <xdr:cNvPr id="433" name="Freeform 482">
            <a:extLst>
              <a:ext uri="{FF2B5EF4-FFF2-40B4-BE49-F238E27FC236}">
                <a16:creationId xmlns:a16="http://schemas.microsoft.com/office/drawing/2014/main" id="{00000000-0008-0000-0000-0000B1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34" name="Freeform 483">
            <a:extLst>
              <a:ext uri="{FF2B5EF4-FFF2-40B4-BE49-F238E27FC236}">
                <a16:creationId xmlns:a16="http://schemas.microsoft.com/office/drawing/2014/main" id="{00000000-0008-0000-0000-0000B2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35" name="Freeform 484">
            <a:extLst>
              <a:ext uri="{FF2B5EF4-FFF2-40B4-BE49-F238E27FC236}">
                <a16:creationId xmlns:a16="http://schemas.microsoft.com/office/drawing/2014/main" id="{00000000-0008-0000-0000-0000B3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80</xdr:row>
      <xdr:rowOff>0</xdr:rowOff>
    </xdr:from>
    <xdr:to>
      <xdr:col>1</xdr:col>
      <xdr:colOff>559592</xdr:colOff>
      <xdr:row>80</xdr:row>
      <xdr:rowOff>310596</xdr:rowOff>
    </xdr:to>
    <xdr:grpSp>
      <xdr:nvGrpSpPr>
        <xdr:cNvPr id="436" name="Group 485">
          <a:extLst>
            <a:ext uri="{FF2B5EF4-FFF2-40B4-BE49-F238E27FC236}">
              <a16:creationId xmlns:a16="http://schemas.microsoft.com/office/drawing/2014/main" id="{00000000-0008-0000-0000-0000B4010000}"/>
            </a:ext>
          </a:extLst>
        </xdr:cNvPr>
        <xdr:cNvGrpSpPr>
          <a:grpSpLocks/>
        </xdr:cNvGrpSpPr>
      </xdr:nvGrpSpPr>
      <xdr:grpSpPr bwMode="auto">
        <a:xfrm rot="80297" flipH="1">
          <a:off x="824931" y="28825371"/>
          <a:ext cx="333375" cy="310596"/>
          <a:chOff x="98" y="425"/>
          <a:chExt cx="93" cy="103"/>
        </a:xfrm>
      </xdr:grpSpPr>
      <xdr:sp macro="" textlink="">
        <xdr:nvSpPr>
          <xdr:cNvPr id="437" name="Freeform 486">
            <a:extLst>
              <a:ext uri="{FF2B5EF4-FFF2-40B4-BE49-F238E27FC236}">
                <a16:creationId xmlns:a16="http://schemas.microsoft.com/office/drawing/2014/main" id="{00000000-0008-0000-0000-0000B5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38" name="Freeform 487">
            <a:extLst>
              <a:ext uri="{FF2B5EF4-FFF2-40B4-BE49-F238E27FC236}">
                <a16:creationId xmlns:a16="http://schemas.microsoft.com/office/drawing/2014/main" id="{00000000-0008-0000-0000-0000B6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39" name="Freeform 488">
            <a:extLst>
              <a:ext uri="{FF2B5EF4-FFF2-40B4-BE49-F238E27FC236}">
                <a16:creationId xmlns:a16="http://schemas.microsoft.com/office/drawing/2014/main" id="{00000000-0008-0000-0000-0000B7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523876</xdr:colOff>
      <xdr:row>24</xdr:row>
      <xdr:rowOff>7937</xdr:rowOff>
    </xdr:from>
    <xdr:to>
      <xdr:col>1</xdr:col>
      <xdr:colOff>833439</xdr:colOff>
      <xdr:row>24</xdr:row>
      <xdr:rowOff>332424</xdr:rowOff>
    </xdr:to>
    <xdr:grpSp>
      <xdr:nvGrpSpPr>
        <xdr:cNvPr id="729" name="Group 107">
          <a:extLst>
            <a:ext uri="{FF2B5EF4-FFF2-40B4-BE49-F238E27FC236}">
              <a16:creationId xmlns:a16="http://schemas.microsoft.com/office/drawing/2014/main" id="{00000000-0008-0000-0000-0000D9020000}"/>
            </a:ext>
          </a:extLst>
        </xdr:cNvPr>
        <xdr:cNvGrpSpPr>
          <a:grpSpLocks/>
        </xdr:cNvGrpSpPr>
      </xdr:nvGrpSpPr>
      <xdr:grpSpPr bwMode="auto">
        <a:xfrm>
          <a:off x="1122590" y="9434966"/>
          <a:ext cx="309563" cy="324487"/>
          <a:chOff x="164" y="352"/>
          <a:chExt cx="17" cy="20"/>
        </a:xfrm>
      </xdr:grpSpPr>
      <xdr:sp macro="" textlink="">
        <xdr:nvSpPr>
          <xdr:cNvPr id="730" name="Rectangle 108">
            <a:extLst>
              <a:ext uri="{FF2B5EF4-FFF2-40B4-BE49-F238E27FC236}">
                <a16:creationId xmlns:a16="http://schemas.microsoft.com/office/drawing/2014/main" id="{00000000-0008-0000-0000-0000DA02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731" name="Line 109">
            <a:extLst>
              <a:ext uri="{FF2B5EF4-FFF2-40B4-BE49-F238E27FC236}">
                <a16:creationId xmlns:a16="http://schemas.microsoft.com/office/drawing/2014/main" id="{00000000-0008-0000-0000-0000DB02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732" name="Line 110">
            <a:extLst>
              <a:ext uri="{FF2B5EF4-FFF2-40B4-BE49-F238E27FC236}">
                <a16:creationId xmlns:a16="http://schemas.microsoft.com/office/drawing/2014/main" id="{00000000-0008-0000-0000-0000DC02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408214</xdr:colOff>
      <xdr:row>23</xdr:row>
      <xdr:rowOff>45358</xdr:rowOff>
    </xdr:from>
    <xdr:to>
      <xdr:col>1</xdr:col>
      <xdr:colOff>988786</xdr:colOff>
      <xdr:row>23</xdr:row>
      <xdr:rowOff>698500</xdr:rowOff>
    </xdr:to>
    <xdr:grpSp>
      <xdr:nvGrpSpPr>
        <xdr:cNvPr id="761" name="Group 743">
          <a:extLst>
            <a:ext uri="{FF2B5EF4-FFF2-40B4-BE49-F238E27FC236}">
              <a16:creationId xmlns:a16="http://schemas.microsoft.com/office/drawing/2014/main" id="{00000000-0008-0000-0000-0000F9020000}"/>
            </a:ext>
          </a:extLst>
        </xdr:cNvPr>
        <xdr:cNvGrpSpPr>
          <a:grpSpLocks/>
        </xdr:cNvGrpSpPr>
      </xdr:nvGrpSpPr>
      <xdr:grpSpPr bwMode="auto">
        <a:xfrm>
          <a:off x="1006928" y="8775701"/>
          <a:ext cx="580572" cy="653142"/>
          <a:chOff x="5365296" y="6124575"/>
          <a:chExt cx="1100818" cy="4461933"/>
        </a:xfrm>
      </xdr:grpSpPr>
      <xdr:sp macro="" textlink="">
        <xdr:nvSpPr>
          <xdr:cNvPr id="762" name="Freeform 355">
            <a:extLst>
              <a:ext uri="{FF2B5EF4-FFF2-40B4-BE49-F238E27FC236}">
                <a16:creationId xmlns:a16="http://schemas.microsoft.com/office/drawing/2014/main" id="{00000000-0008-0000-0000-0000FA020000}"/>
              </a:ext>
            </a:extLst>
          </xdr:cNvPr>
          <xdr:cNvSpPr>
            <a:spLocks/>
          </xdr:cNvSpPr>
        </xdr:nvSpPr>
        <xdr:spPr bwMode="auto">
          <a:xfrm>
            <a:off x="5365296" y="7436908"/>
            <a:ext cx="1100818" cy="131233"/>
          </a:xfrm>
          <a:custGeom>
            <a:avLst/>
            <a:gdLst>
              <a:gd name="T0" fmla="*/ 0 w 51"/>
              <a:gd name="T1" fmla="*/ 3 h 3"/>
              <a:gd name="T2" fmla="*/ 4 w 51"/>
              <a:gd name="T3" fmla="*/ 0 h 3"/>
              <a:gd name="T4" fmla="*/ 6 w 51"/>
              <a:gd name="T5" fmla="*/ 0 h 3"/>
              <a:gd name="T6" fmla="*/ 6 w 51"/>
              <a:gd name="T7" fmla="*/ 3 h 3"/>
              <a:gd name="T8" fmla="*/ 0 w 51"/>
              <a:gd name="T9" fmla="*/ 3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sp macro="" textlink="">
        <xdr:nvSpPr>
          <xdr:cNvPr id="763" name="Rectangle 56">
            <a:extLst>
              <a:ext uri="{FF2B5EF4-FFF2-40B4-BE49-F238E27FC236}">
                <a16:creationId xmlns:a16="http://schemas.microsoft.com/office/drawing/2014/main" id="{00000000-0008-0000-0000-0000FB020000}"/>
              </a:ext>
            </a:extLst>
          </xdr:cNvPr>
          <xdr:cNvSpPr>
            <a:spLocks noChangeArrowheads="1"/>
          </xdr:cNvSpPr>
        </xdr:nvSpPr>
        <xdr:spPr bwMode="auto">
          <a:xfrm>
            <a:off x="5365296" y="7534275"/>
            <a:ext cx="1100818" cy="2667000"/>
          </a:xfrm>
          <a:prstGeom prst="rect">
            <a:avLst/>
          </a:prstGeom>
          <a:gradFill rotWithShape="0">
            <a:gsLst>
              <a:gs pos="0">
                <a:srgbClr val="DCEBF5"/>
              </a:gs>
              <a:gs pos="3999">
                <a:srgbClr val="80302D"/>
              </a:gs>
              <a:gs pos="8000">
                <a:srgbClr val="C00000"/>
              </a:gs>
              <a:gs pos="13000">
                <a:srgbClr val="768FB9"/>
              </a:gs>
              <a:gs pos="14000">
                <a:srgbClr val="FFFFFF"/>
              </a:gs>
              <a:gs pos="21001">
                <a:srgbClr val="C00000"/>
              </a:gs>
              <a:gs pos="34000">
                <a:srgbClr val="FF0000"/>
              </a:gs>
              <a:gs pos="60001">
                <a:srgbClr val="9C6563"/>
              </a:gs>
              <a:gs pos="60001">
                <a:srgbClr val="C0524E"/>
              </a:gs>
              <a:gs pos="94000">
                <a:srgbClr val="C00000"/>
              </a:gs>
              <a:gs pos="100000">
                <a:srgbClr val="C00000"/>
              </a:gs>
            </a:gsLst>
            <a:lin ang="0"/>
          </a:gradFill>
          <a:ln w="9525">
            <a:solidFill>
              <a:srgbClr val="000000"/>
            </a:solidFill>
            <a:miter lim="800000"/>
            <a:headEnd/>
            <a:tailEnd/>
          </a:ln>
        </xdr:spPr>
      </xdr:sp>
      <xdr:sp macro="" textlink="">
        <xdr:nvSpPr>
          <xdr:cNvPr id="764" name="Rectangle 360">
            <a:extLst>
              <a:ext uri="{FF2B5EF4-FFF2-40B4-BE49-F238E27FC236}">
                <a16:creationId xmlns:a16="http://schemas.microsoft.com/office/drawing/2014/main" id="{00000000-0008-0000-0000-0000FC020000}"/>
              </a:ext>
            </a:extLst>
          </xdr:cNvPr>
          <xdr:cNvSpPr>
            <a:spLocks noChangeArrowheads="1"/>
          </xdr:cNvSpPr>
        </xdr:nvSpPr>
        <xdr:spPr bwMode="auto">
          <a:xfrm flipH="1" flipV="1">
            <a:off x="5451447" y="6677025"/>
            <a:ext cx="55519" cy="712401"/>
          </a:xfrm>
          <a:prstGeom prst="rect">
            <a:avLst/>
          </a:prstGeom>
          <a:gradFill rotWithShape="0">
            <a:gsLst>
              <a:gs pos="0">
                <a:srgbClr val="595959"/>
              </a:gs>
              <a:gs pos="35001">
                <a:srgbClr val="595959"/>
              </a:gs>
              <a:gs pos="42000">
                <a:srgbClr val="595959"/>
              </a:gs>
              <a:gs pos="100000">
                <a:srgbClr val="C0C0C0"/>
              </a:gs>
            </a:gsLst>
            <a:lin ang="0" scaled="1"/>
          </a:gradFill>
          <a:ln w="9525">
            <a:solidFill>
              <a:srgbClr val="000000"/>
            </a:solidFill>
            <a:miter lim="800000"/>
            <a:headEnd/>
            <a:tailEnd/>
          </a:ln>
        </xdr:spPr>
      </xdr:sp>
      <xdr:sp macro="" textlink="">
        <xdr:nvSpPr>
          <xdr:cNvPr id="765" name="Rectangle 360">
            <a:extLst>
              <a:ext uri="{FF2B5EF4-FFF2-40B4-BE49-F238E27FC236}">
                <a16:creationId xmlns:a16="http://schemas.microsoft.com/office/drawing/2014/main" id="{00000000-0008-0000-0000-0000FD020000}"/>
              </a:ext>
            </a:extLst>
          </xdr:cNvPr>
          <xdr:cNvSpPr>
            <a:spLocks noChangeArrowheads="1"/>
          </xdr:cNvSpPr>
        </xdr:nvSpPr>
        <xdr:spPr bwMode="auto">
          <a:xfrm flipH="1" flipV="1">
            <a:off x="5537597" y="6696075"/>
            <a:ext cx="47862" cy="693351"/>
          </a:xfrm>
          <a:prstGeom prst="rect">
            <a:avLst/>
          </a:prstGeom>
          <a:gradFill rotWithShape="0">
            <a:gsLst>
              <a:gs pos="0">
                <a:srgbClr val="595959"/>
              </a:gs>
              <a:gs pos="35001">
                <a:srgbClr val="595959"/>
              </a:gs>
              <a:gs pos="42000">
                <a:srgbClr val="595959"/>
              </a:gs>
              <a:gs pos="100000">
                <a:srgbClr val="C0C0C0"/>
              </a:gs>
            </a:gsLst>
            <a:lin ang="0" scaled="1"/>
          </a:gradFill>
          <a:ln w="9525">
            <a:solidFill>
              <a:srgbClr val="000000"/>
            </a:solidFill>
            <a:miter lim="800000"/>
            <a:headEnd/>
            <a:tailEnd/>
          </a:ln>
        </xdr:spPr>
      </xdr:sp>
      <xdr:sp macro="" textlink="">
        <xdr:nvSpPr>
          <xdr:cNvPr id="766" name="Rectangle 354">
            <a:extLst>
              <a:ext uri="{FF2B5EF4-FFF2-40B4-BE49-F238E27FC236}">
                <a16:creationId xmlns:a16="http://schemas.microsoft.com/office/drawing/2014/main" id="{00000000-0008-0000-0000-0000FE020000}"/>
              </a:ext>
            </a:extLst>
          </xdr:cNvPr>
          <xdr:cNvSpPr>
            <a:spLocks noChangeArrowheads="1"/>
          </xdr:cNvSpPr>
        </xdr:nvSpPr>
        <xdr:spPr bwMode="auto">
          <a:xfrm>
            <a:off x="5690538" y="6124575"/>
            <a:ext cx="525390" cy="787400"/>
          </a:xfrm>
          <a:prstGeom prst="rect">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grpSp>
        <xdr:nvGrpSpPr>
          <xdr:cNvPr id="767" name="Group 144">
            <a:extLst>
              <a:ext uri="{FF2B5EF4-FFF2-40B4-BE49-F238E27FC236}">
                <a16:creationId xmlns:a16="http://schemas.microsoft.com/office/drawing/2014/main" id="{00000000-0008-0000-0000-0000FF020000}"/>
              </a:ext>
            </a:extLst>
          </xdr:cNvPr>
          <xdr:cNvGrpSpPr>
            <a:grpSpLocks/>
          </xdr:cNvGrpSpPr>
        </xdr:nvGrpSpPr>
        <xdr:grpSpPr bwMode="auto">
          <a:xfrm>
            <a:off x="5633323" y="6924675"/>
            <a:ext cx="631772" cy="466725"/>
            <a:chOff x="5162551" y="1276349"/>
            <a:chExt cx="638174" cy="381001"/>
          </a:xfrm>
        </xdr:grpSpPr>
        <xdr:sp macro="" textlink="">
          <xdr:nvSpPr>
            <xdr:cNvPr id="780" name="Freeform 355">
              <a:extLst>
                <a:ext uri="{FF2B5EF4-FFF2-40B4-BE49-F238E27FC236}">
                  <a16:creationId xmlns:a16="http://schemas.microsoft.com/office/drawing/2014/main" id="{00000000-0008-0000-0000-00000C030000}"/>
                </a:ext>
              </a:extLst>
            </xdr:cNvPr>
            <xdr:cNvSpPr>
              <a:spLocks/>
            </xdr:cNvSpPr>
          </xdr:nvSpPr>
          <xdr:spPr bwMode="auto">
            <a:xfrm>
              <a:off x="5169802" y="1265979"/>
              <a:ext cx="631804" cy="107130"/>
            </a:xfrm>
            <a:custGeom>
              <a:avLst/>
              <a:gdLst>
                <a:gd name="T0" fmla="*/ 0 w 51"/>
                <a:gd name="T1" fmla="*/ 3 h 3"/>
                <a:gd name="T2" fmla="*/ 4 w 51"/>
                <a:gd name="T3" fmla="*/ 0 h 3"/>
                <a:gd name="T4" fmla="*/ 6 w 51"/>
                <a:gd name="T5" fmla="*/ 0 h 3"/>
                <a:gd name="T6" fmla="*/ 6 w 51"/>
                <a:gd name="T7" fmla="*/ 3 h 3"/>
                <a:gd name="T8" fmla="*/ 0 w 51"/>
                <a:gd name="T9" fmla="*/ 3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sp macro="" textlink="">
          <xdr:nvSpPr>
            <xdr:cNvPr id="781" name="Rectangle 354">
              <a:extLst>
                <a:ext uri="{FF2B5EF4-FFF2-40B4-BE49-F238E27FC236}">
                  <a16:creationId xmlns:a16="http://schemas.microsoft.com/office/drawing/2014/main" id="{00000000-0008-0000-0000-00000D030000}"/>
                </a:ext>
              </a:extLst>
            </xdr:cNvPr>
            <xdr:cNvSpPr>
              <a:spLocks noChangeArrowheads="1"/>
            </xdr:cNvSpPr>
          </xdr:nvSpPr>
          <xdr:spPr bwMode="auto">
            <a:xfrm>
              <a:off x="5169802" y="1373109"/>
              <a:ext cx="631804" cy="267825"/>
            </a:xfrm>
            <a:prstGeom prst="rect">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grpSp>
      <xdr:sp macro="" textlink="">
        <xdr:nvSpPr>
          <xdr:cNvPr id="772" name="Rectangle 360">
            <a:extLst>
              <a:ext uri="{FF2B5EF4-FFF2-40B4-BE49-F238E27FC236}">
                <a16:creationId xmlns:a16="http://schemas.microsoft.com/office/drawing/2014/main" id="{00000000-0008-0000-0000-000004030000}"/>
              </a:ext>
            </a:extLst>
          </xdr:cNvPr>
          <xdr:cNvSpPr>
            <a:spLocks noChangeArrowheads="1"/>
          </xdr:cNvSpPr>
        </xdr:nvSpPr>
        <xdr:spPr bwMode="auto">
          <a:xfrm flipH="1" flipV="1">
            <a:off x="6284240" y="6686550"/>
            <a:ext cx="55519" cy="712401"/>
          </a:xfrm>
          <a:prstGeom prst="rect">
            <a:avLst/>
          </a:prstGeom>
          <a:gradFill rotWithShape="0">
            <a:gsLst>
              <a:gs pos="0">
                <a:srgbClr val="595959"/>
              </a:gs>
              <a:gs pos="35001">
                <a:srgbClr val="595959"/>
              </a:gs>
              <a:gs pos="42000">
                <a:srgbClr val="595959"/>
              </a:gs>
              <a:gs pos="100000">
                <a:srgbClr val="C0C0C0"/>
              </a:gs>
            </a:gsLst>
            <a:lin ang="0" scaled="1"/>
          </a:gradFill>
          <a:ln w="9525">
            <a:solidFill>
              <a:srgbClr val="000000"/>
            </a:solidFill>
            <a:miter lim="800000"/>
            <a:headEnd/>
            <a:tailEnd/>
          </a:ln>
        </xdr:spPr>
      </xdr:sp>
      <xdr:sp macro="" textlink="">
        <xdr:nvSpPr>
          <xdr:cNvPr id="773" name="Oval 363">
            <a:extLst>
              <a:ext uri="{FF2B5EF4-FFF2-40B4-BE49-F238E27FC236}">
                <a16:creationId xmlns:a16="http://schemas.microsoft.com/office/drawing/2014/main" id="{00000000-0008-0000-0000-000005030000}"/>
              </a:ext>
            </a:extLst>
          </xdr:cNvPr>
          <xdr:cNvSpPr>
            <a:spLocks noChangeArrowheads="1"/>
          </xdr:cNvSpPr>
        </xdr:nvSpPr>
        <xdr:spPr bwMode="auto">
          <a:xfrm>
            <a:off x="5740575" y="9471025"/>
            <a:ext cx="500372" cy="459317"/>
          </a:xfrm>
          <a:prstGeom prst="ellipse">
            <a:avLst/>
          </a:prstGeom>
          <a:gradFill flip="none" rotWithShape="1">
            <a:gsLst>
              <a:gs pos="19000">
                <a:schemeClr val="accent6">
                  <a:lumMod val="60000"/>
                  <a:lumOff val="40000"/>
                </a:schemeClr>
              </a:gs>
              <a:gs pos="65000">
                <a:srgbClr val="1F1F1F"/>
              </a:gs>
              <a:gs pos="62000">
                <a:srgbClr val="FFFFFF"/>
              </a:gs>
              <a:gs pos="70000">
                <a:srgbClr val="636363"/>
              </a:gs>
              <a:gs pos="65000">
                <a:srgbClr val="CFCFCF"/>
              </a:gs>
              <a:gs pos="98000">
                <a:srgbClr val="CFCFCF"/>
              </a:gs>
              <a:gs pos="26000">
                <a:srgbClr val="1F1F1F"/>
              </a:gs>
              <a:gs pos="97000">
                <a:srgbClr val="FFFFFF"/>
              </a:gs>
              <a:gs pos="88000">
                <a:srgbClr val="7F7F7F"/>
              </a:gs>
            </a:gsLst>
            <a:lin ang="10800000" scaled="0"/>
            <a:tileRect/>
          </a:gradFill>
          <a:ln w="9525">
            <a:solidFill>
              <a:srgbClr val="000000"/>
            </a:solidFill>
            <a:round/>
            <a:headEnd/>
            <a:tailEnd/>
          </a:ln>
        </xdr:spPr>
        <xdr:txBody>
          <a:bodyPr/>
          <a:lstStyle/>
          <a:p>
            <a:endParaRPr lang="en-US"/>
          </a:p>
        </xdr:txBody>
      </xdr:sp>
      <xdr:sp macro="" textlink="">
        <xdr:nvSpPr>
          <xdr:cNvPr id="774" name="Rectangle 56">
            <a:extLst>
              <a:ext uri="{FF2B5EF4-FFF2-40B4-BE49-F238E27FC236}">
                <a16:creationId xmlns:a16="http://schemas.microsoft.com/office/drawing/2014/main" id="{00000000-0008-0000-0000-000006030000}"/>
              </a:ext>
            </a:extLst>
          </xdr:cNvPr>
          <xdr:cNvSpPr>
            <a:spLocks noChangeArrowheads="1"/>
          </xdr:cNvSpPr>
        </xdr:nvSpPr>
        <xdr:spPr bwMode="auto">
          <a:xfrm>
            <a:off x="5365296" y="10192808"/>
            <a:ext cx="1100818" cy="393700"/>
          </a:xfrm>
          <a:prstGeom prst="rect">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sp macro="" textlink="">
        <xdr:nvSpPr>
          <xdr:cNvPr id="775" name="Oval 363">
            <a:extLst>
              <a:ext uri="{FF2B5EF4-FFF2-40B4-BE49-F238E27FC236}">
                <a16:creationId xmlns:a16="http://schemas.microsoft.com/office/drawing/2014/main" id="{00000000-0008-0000-0000-000007030000}"/>
              </a:ext>
            </a:extLst>
          </xdr:cNvPr>
          <xdr:cNvSpPr>
            <a:spLocks noChangeArrowheads="1"/>
          </xdr:cNvSpPr>
        </xdr:nvSpPr>
        <xdr:spPr bwMode="auto">
          <a:xfrm>
            <a:off x="5440352" y="7633758"/>
            <a:ext cx="75056" cy="65617"/>
          </a:xfrm>
          <a:prstGeom prst="ellipse">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sp macro="" textlink="">
        <xdr:nvSpPr>
          <xdr:cNvPr id="776" name="Oval 363">
            <a:extLst>
              <a:ext uri="{FF2B5EF4-FFF2-40B4-BE49-F238E27FC236}">
                <a16:creationId xmlns:a16="http://schemas.microsoft.com/office/drawing/2014/main" id="{00000000-0008-0000-0000-000008030000}"/>
              </a:ext>
            </a:extLst>
          </xdr:cNvPr>
          <xdr:cNvSpPr>
            <a:spLocks noChangeArrowheads="1"/>
          </xdr:cNvSpPr>
        </xdr:nvSpPr>
        <xdr:spPr bwMode="auto">
          <a:xfrm>
            <a:off x="6290984" y="7699375"/>
            <a:ext cx="100074" cy="65617"/>
          </a:xfrm>
          <a:prstGeom prst="ellipse">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sp macro="" textlink="">
        <xdr:nvSpPr>
          <xdr:cNvPr id="777" name="Oval 363">
            <a:extLst>
              <a:ext uri="{FF2B5EF4-FFF2-40B4-BE49-F238E27FC236}">
                <a16:creationId xmlns:a16="http://schemas.microsoft.com/office/drawing/2014/main" id="{00000000-0008-0000-0000-000009030000}"/>
              </a:ext>
            </a:extLst>
          </xdr:cNvPr>
          <xdr:cNvSpPr>
            <a:spLocks noChangeArrowheads="1"/>
          </xdr:cNvSpPr>
        </xdr:nvSpPr>
        <xdr:spPr bwMode="auto">
          <a:xfrm>
            <a:off x="6090835" y="7699375"/>
            <a:ext cx="75056" cy="65617"/>
          </a:xfrm>
          <a:prstGeom prst="ellipse">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sp macro="" textlink="">
        <xdr:nvSpPr>
          <xdr:cNvPr id="778" name="Oval 363">
            <a:extLst>
              <a:ext uri="{FF2B5EF4-FFF2-40B4-BE49-F238E27FC236}">
                <a16:creationId xmlns:a16="http://schemas.microsoft.com/office/drawing/2014/main" id="{00000000-0008-0000-0000-00000A030000}"/>
              </a:ext>
            </a:extLst>
          </xdr:cNvPr>
          <xdr:cNvSpPr>
            <a:spLocks noChangeArrowheads="1"/>
          </xdr:cNvSpPr>
        </xdr:nvSpPr>
        <xdr:spPr bwMode="auto">
          <a:xfrm>
            <a:off x="5840649" y="7633758"/>
            <a:ext cx="75056" cy="65617"/>
          </a:xfrm>
          <a:prstGeom prst="ellipse">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sp macro="" textlink="">
        <xdr:nvSpPr>
          <xdr:cNvPr id="779" name="Oval 363">
            <a:extLst>
              <a:ext uri="{FF2B5EF4-FFF2-40B4-BE49-F238E27FC236}">
                <a16:creationId xmlns:a16="http://schemas.microsoft.com/office/drawing/2014/main" id="{00000000-0008-0000-0000-00000B030000}"/>
              </a:ext>
            </a:extLst>
          </xdr:cNvPr>
          <xdr:cNvSpPr>
            <a:spLocks noChangeArrowheads="1"/>
          </xdr:cNvSpPr>
        </xdr:nvSpPr>
        <xdr:spPr bwMode="auto">
          <a:xfrm>
            <a:off x="5640500" y="7699375"/>
            <a:ext cx="75056" cy="65617"/>
          </a:xfrm>
          <a:prstGeom prst="ellipse">
            <a:avLst/>
          </a:prstGeom>
          <a:gradFill rotWithShape="0">
            <a:gsLst>
              <a:gs pos="1000">
                <a:srgbClr val="FFFFFF"/>
              </a:gs>
              <a:gs pos="16000">
                <a:srgbClr val="1F1F1F"/>
              </a:gs>
              <a:gs pos="25000">
                <a:srgbClr val="FFFFFF"/>
              </a:gs>
              <a:gs pos="80000">
                <a:srgbClr val="636363"/>
              </a:gs>
              <a:gs pos="53000">
                <a:srgbClr val="CFCFCF"/>
              </a:gs>
              <a:gs pos="66000">
                <a:srgbClr val="CFCFCF"/>
              </a:gs>
              <a:gs pos="87000">
                <a:srgbClr val="1F1F1F"/>
              </a:gs>
              <a:gs pos="87000">
                <a:srgbClr val="FFFFFF"/>
              </a:gs>
              <a:gs pos="100000">
                <a:srgbClr val="7F7F7F"/>
              </a:gs>
            </a:gsLst>
            <a:lin ang="0" scaled="0"/>
          </a:gradFill>
          <a:ln w="9525">
            <a:solidFill>
              <a:srgbClr val="000000"/>
            </a:solidFill>
            <a:miter lim="800000"/>
            <a:headEnd/>
            <a:tailEnd/>
          </a:ln>
          <a:scene3d>
            <a:camera prst="orthographicFront"/>
            <a:lightRig rig="threePt" dir="t"/>
          </a:scene3d>
          <a:sp3d contourW="12700">
            <a:contourClr>
              <a:schemeClr val="bg1">
                <a:lumMod val="65000"/>
              </a:schemeClr>
            </a:contourClr>
          </a:sp3d>
        </xdr:spPr>
        <xdr:txBody>
          <a:bodyPr/>
          <a:lstStyle/>
          <a:p>
            <a:endParaRPr lang="en-US"/>
          </a:p>
        </xdr:txBody>
      </xdr:sp>
    </xdr:grpSp>
    <xdr:clientData/>
  </xdr:twoCellAnchor>
  <xdr:twoCellAnchor>
    <xdr:from>
      <xdr:col>1</xdr:col>
      <xdr:colOff>544286</xdr:colOff>
      <xdr:row>22</xdr:row>
      <xdr:rowOff>54428</xdr:rowOff>
    </xdr:from>
    <xdr:to>
      <xdr:col>1</xdr:col>
      <xdr:colOff>870858</xdr:colOff>
      <xdr:row>23</xdr:row>
      <xdr:rowOff>27011</xdr:rowOff>
    </xdr:to>
    <xdr:sp macro="" textlink="">
      <xdr:nvSpPr>
        <xdr:cNvPr id="782" name="Rectangle 696">
          <a:extLst>
            <a:ext uri="{FF2B5EF4-FFF2-40B4-BE49-F238E27FC236}">
              <a16:creationId xmlns:a16="http://schemas.microsoft.com/office/drawing/2014/main" id="{00000000-0008-0000-0000-00000E030000}"/>
            </a:ext>
          </a:extLst>
        </xdr:cNvPr>
        <xdr:cNvSpPr>
          <a:spLocks noChangeArrowheads="1"/>
        </xdr:cNvSpPr>
      </xdr:nvSpPr>
      <xdr:spPr bwMode="auto">
        <a:xfrm>
          <a:off x="1161143" y="8744857"/>
          <a:ext cx="326572" cy="453368"/>
        </a:xfrm>
        <a:prstGeom prst="rect">
          <a:avLst/>
        </a:prstGeom>
        <a:gradFill flip="none" rotWithShape="1">
          <a:gsLst>
            <a:gs pos="0">
              <a:srgbClr val="D6B19C"/>
            </a:gs>
            <a:gs pos="30000">
              <a:srgbClr val="D49E6C"/>
            </a:gs>
            <a:gs pos="70000">
              <a:srgbClr val="A65528"/>
            </a:gs>
            <a:gs pos="100000">
              <a:srgbClr val="663012"/>
            </a:gs>
          </a:gsLst>
          <a:lin ang="18900000" scaled="0"/>
          <a:tileRect/>
        </a:gradFill>
        <a:ln w="3175">
          <a:solidFill>
            <a:srgbClr val="000000"/>
          </a:solidFill>
          <a:miter lim="800000"/>
          <a:headEnd/>
          <a:tailEnd/>
        </a:ln>
      </xdr:spPr>
      <xdr:txBody>
        <a:bodyPr/>
        <a:lstStyle/>
        <a:p>
          <a:endParaRPr lang="en-US"/>
        </a:p>
      </xdr:txBody>
    </xdr:sp>
    <xdr:clientData/>
  </xdr:twoCellAnchor>
  <xdr:twoCellAnchor>
    <xdr:from>
      <xdr:col>1</xdr:col>
      <xdr:colOff>489858</xdr:colOff>
      <xdr:row>20</xdr:row>
      <xdr:rowOff>326572</xdr:rowOff>
    </xdr:from>
    <xdr:to>
      <xdr:col>1</xdr:col>
      <xdr:colOff>907144</xdr:colOff>
      <xdr:row>22</xdr:row>
      <xdr:rowOff>54428</xdr:rowOff>
    </xdr:to>
    <xdr:grpSp>
      <xdr:nvGrpSpPr>
        <xdr:cNvPr id="783" name="Group 2135">
          <a:extLst>
            <a:ext uri="{FF2B5EF4-FFF2-40B4-BE49-F238E27FC236}">
              <a16:creationId xmlns:a16="http://schemas.microsoft.com/office/drawing/2014/main" id="{00000000-0008-0000-0000-00000F030000}"/>
            </a:ext>
          </a:extLst>
        </xdr:cNvPr>
        <xdr:cNvGrpSpPr>
          <a:grpSpLocks/>
        </xdr:cNvGrpSpPr>
      </xdr:nvGrpSpPr>
      <xdr:grpSpPr bwMode="auto">
        <a:xfrm>
          <a:off x="1088572" y="7772401"/>
          <a:ext cx="417286" cy="544284"/>
          <a:chOff x="125" y="639"/>
          <a:chExt cx="35" cy="88"/>
        </a:xfrm>
      </xdr:grpSpPr>
      <xdr:sp macro="" textlink="">
        <xdr:nvSpPr>
          <xdr:cNvPr id="784" name="Freeform 2136">
            <a:extLst>
              <a:ext uri="{FF2B5EF4-FFF2-40B4-BE49-F238E27FC236}">
                <a16:creationId xmlns:a16="http://schemas.microsoft.com/office/drawing/2014/main" id="{00000000-0008-0000-0000-000010030000}"/>
              </a:ext>
            </a:extLst>
          </xdr:cNvPr>
          <xdr:cNvSpPr>
            <a:spLocks/>
          </xdr:cNvSpPr>
        </xdr:nvSpPr>
        <xdr:spPr bwMode="auto">
          <a:xfrm>
            <a:off x="125" y="639"/>
            <a:ext cx="35" cy="48"/>
          </a:xfrm>
          <a:custGeom>
            <a:avLst/>
            <a:gdLst>
              <a:gd name="T0" fmla="*/ 0 w 174"/>
              <a:gd name="T1" fmla="*/ 0 h 190"/>
              <a:gd name="T2" fmla="*/ 0 w 174"/>
              <a:gd name="T3" fmla="*/ 0 h 190"/>
              <a:gd name="T4" fmla="*/ 0 w 174"/>
              <a:gd name="T5" fmla="*/ 0 h 190"/>
              <a:gd name="T6" fmla="*/ 0 w 174"/>
              <a:gd name="T7" fmla="*/ 0 h 190"/>
              <a:gd name="T8" fmla="*/ 0 w 174"/>
              <a:gd name="T9" fmla="*/ 0 h 190"/>
              <a:gd name="T10" fmla="*/ 0 w 174"/>
              <a:gd name="T11" fmla="*/ 0 h 190"/>
              <a:gd name="T12" fmla="*/ 0 w 174"/>
              <a:gd name="T13" fmla="*/ 0 h 190"/>
              <a:gd name="T14" fmla="*/ 0 w 174"/>
              <a:gd name="T15" fmla="*/ 0 h 190"/>
              <a:gd name="T16" fmla="*/ 0 w 174"/>
              <a:gd name="T17" fmla="*/ 0 h 190"/>
              <a:gd name="T18" fmla="*/ 0 w 174"/>
              <a:gd name="T19" fmla="*/ 0 h 190"/>
              <a:gd name="T20" fmla="*/ 0 w 174"/>
              <a:gd name="T21" fmla="*/ 0 h 190"/>
              <a:gd name="T22" fmla="*/ 0 w 174"/>
              <a:gd name="T23" fmla="*/ 0 h 190"/>
              <a:gd name="T24" fmla="*/ 0 w 174"/>
              <a:gd name="T25" fmla="*/ 0 h 190"/>
              <a:gd name="T26" fmla="*/ 0 w 174"/>
              <a:gd name="T27" fmla="*/ 0 h 19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74"/>
              <a:gd name="T43" fmla="*/ 0 h 190"/>
              <a:gd name="T44" fmla="*/ 174 w 174"/>
              <a:gd name="T45" fmla="*/ 190 h 19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74" h="190">
                <a:moveTo>
                  <a:pt x="131" y="143"/>
                </a:moveTo>
                <a:lnTo>
                  <a:pt x="87" y="166"/>
                </a:lnTo>
                <a:lnTo>
                  <a:pt x="44" y="190"/>
                </a:lnTo>
                <a:lnTo>
                  <a:pt x="22" y="166"/>
                </a:lnTo>
                <a:lnTo>
                  <a:pt x="22" y="95"/>
                </a:lnTo>
                <a:lnTo>
                  <a:pt x="0" y="71"/>
                </a:lnTo>
                <a:lnTo>
                  <a:pt x="0" y="24"/>
                </a:lnTo>
                <a:lnTo>
                  <a:pt x="22" y="0"/>
                </a:lnTo>
                <a:lnTo>
                  <a:pt x="152" y="0"/>
                </a:lnTo>
                <a:lnTo>
                  <a:pt x="174" y="24"/>
                </a:lnTo>
                <a:lnTo>
                  <a:pt x="174" y="71"/>
                </a:lnTo>
                <a:lnTo>
                  <a:pt x="152" y="95"/>
                </a:lnTo>
                <a:lnTo>
                  <a:pt x="152" y="166"/>
                </a:lnTo>
                <a:lnTo>
                  <a:pt x="131" y="143"/>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sp macro="" textlink="">
        <xdr:nvSpPr>
          <xdr:cNvPr id="785" name="Freeform 2137">
            <a:extLst>
              <a:ext uri="{FF2B5EF4-FFF2-40B4-BE49-F238E27FC236}">
                <a16:creationId xmlns:a16="http://schemas.microsoft.com/office/drawing/2014/main" id="{00000000-0008-0000-0000-000011030000}"/>
              </a:ext>
            </a:extLst>
          </xdr:cNvPr>
          <xdr:cNvSpPr>
            <a:spLocks/>
          </xdr:cNvSpPr>
        </xdr:nvSpPr>
        <xdr:spPr bwMode="auto">
          <a:xfrm>
            <a:off x="125" y="681"/>
            <a:ext cx="35" cy="46"/>
          </a:xfrm>
          <a:custGeom>
            <a:avLst/>
            <a:gdLst>
              <a:gd name="T0" fmla="*/ 0 w 174"/>
              <a:gd name="T1" fmla="*/ 0 h 183"/>
              <a:gd name="T2" fmla="*/ 0 w 174"/>
              <a:gd name="T3" fmla="*/ 0 h 183"/>
              <a:gd name="T4" fmla="*/ 0 w 174"/>
              <a:gd name="T5" fmla="*/ 0 h 183"/>
              <a:gd name="T6" fmla="*/ 0 w 174"/>
              <a:gd name="T7" fmla="*/ 0 h 183"/>
              <a:gd name="T8" fmla="*/ 0 w 174"/>
              <a:gd name="T9" fmla="*/ 0 h 183"/>
              <a:gd name="T10" fmla="*/ 0 w 174"/>
              <a:gd name="T11" fmla="*/ 0 h 183"/>
              <a:gd name="T12" fmla="*/ 0 w 174"/>
              <a:gd name="T13" fmla="*/ 0 h 183"/>
              <a:gd name="T14" fmla="*/ 0 w 174"/>
              <a:gd name="T15" fmla="*/ 0 h 183"/>
              <a:gd name="T16" fmla="*/ 0 w 174"/>
              <a:gd name="T17" fmla="*/ 0 h 183"/>
              <a:gd name="T18" fmla="*/ 0 w 174"/>
              <a:gd name="T19" fmla="*/ 0 h 183"/>
              <a:gd name="T20" fmla="*/ 0 w 174"/>
              <a:gd name="T21" fmla="*/ 0 h 183"/>
              <a:gd name="T22" fmla="*/ 0 w 174"/>
              <a:gd name="T23" fmla="*/ 0 h 183"/>
              <a:gd name="T24" fmla="*/ 0 w 174"/>
              <a:gd name="T25" fmla="*/ 0 h 183"/>
              <a:gd name="T26" fmla="*/ 0 w 174"/>
              <a:gd name="T27" fmla="*/ 0 h 18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74"/>
              <a:gd name="T43" fmla="*/ 0 h 183"/>
              <a:gd name="T44" fmla="*/ 174 w 174"/>
              <a:gd name="T45" fmla="*/ 183 h 183"/>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74" h="183">
                <a:moveTo>
                  <a:pt x="44" y="41"/>
                </a:moveTo>
                <a:lnTo>
                  <a:pt x="87" y="21"/>
                </a:lnTo>
                <a:lnTo>
                  <a:pt x="131" y="0"/>
                </a:lnTo>
                <a:lnTo>
                  <a:pt x="152" y="21"/>
                </a:lnTo>
                <a:lnTo>
                  <a:pt x="152" y="102"/>
                </a:lnTo>
                <a:lnTo>
                  <a:pt x="174" y="122"/>
                </a:lnTo>
                <a:lnTo>
                  <a:pt x="174" y="162"/>
                </a:lnTo>
                <a:lnTo>
                  <a:pt x="152" y="183"/>
                </a:lnTo>
                <a:lnTo>
                  <a:pt x="22" y="183"/>
                </a:lnTo>
                <a:lnTo>
                  <a:pt x="0" y="162"/>
                </a:lnTo>
                <a:lnTo>
                  <a:pt x="0" y="122"/>
                </a:lnTo>
                <a:lnTo>
                  <a:pt x="22" y="102"/>
                </a:lnTo>
                <a:lnTo>
                  <a:pt x="22" y="21"/>
                </a:lnTo>
                <a:lnTo>
                  <a:pt x="44" y="41"/>
                </a:lnTo>
                <a:close/>
              </a:path>
            </a:pathLst>
          </a:custGeom>
          <a:gradFill rotWithShape="0">
            <a:gsLst>
              <a:gs pos="0">
                <a:srgbClr val="76765E"/>
              </a:gs>
              <a:gs pos="50000">
                <a:srgbClr val="FFFFCC"/>
              </a:gs>
              <a:gs pos="100000">
                <a:srgbClr val="76765E"/>
              </a:gs>
            </a:gsLst>
            <a:lin ang="0" scaled="1"/>
          </a:gradFill>
          <a:ln w="9525" cap="flat" cmpd="sng">
            <a:solidFill>
              <a:srgbClr val="000000"/>
            </a:solidFill>
            <a:prstDash val="solid"/>
            <a:round/>
            <a:headEnd/>
            <a:tailEnd/>
          </a:ln>
        </xdr:spPr>
      </xdr:sp>
      <xdr:sp macro="" textlink="">
        <xdr:nvSpPr>
          <xdr:cNvPr id="786" name="Freeform 2138">
            <a:extLst>
              <a:ext uri="{FF2B5EF4-FFF2-40B4-BE49-F238E27FC236}">
                <a16:creationId xmlns:a16="http://schemas.microsoft.com/office/drawing/2014/main" id="{00000000-0008-0000-0000-000012030000}"/>
              </a:ext>
            </a:extLst>
          </xdr:cNvPr>
          <xdr:cNvSpPr>
            <a:spLocks/>
          </xdr:cNvSpPr>
        </xdr:nvSpPr>
        <xdr:spPr bwMode="auto">
          <a:xfrm>
            <a:off x="125" y="645"/>
            <a:ext cx="35" cy="1"/>
          </a:xfrm>
          <a:custGeom>
            <a:avLst/>
            <a:gdLst>
              <a:gd name="T0" fmla="*/ 0 w 174"/>
              <a:gd name="T1" fmla="*/ 0 h 1"/>
              <a:gd name="T2" fmla="*/ 0 w 174"/>
              <a:gd name="T3" fmla="*/ 0 h 1"/>
              <a:gd name="T4" fmla="*/ 0 w 174"/>
              <a:gd name="T5" fmla="*/ 0 h 1"/>
              <a:gd name="T6" fmla="*/ 0 60000 65536"/>
              <a:gd name="T7" fmla="*/ 0 60000 65536"/>
              <a:gd name="T8" fmla="*/ 0 60000 65536"/>
              <a:gd name="T9" fmla="*/ 0 w 174"/>
              <a:gd name="T10" fmla="*/ 0 h 1"/>
              <a:gd name="T11" fmla="*/ 174 w 174"/>
              <a:gd name="T12" fmla="*/ 1 h 1"/>
            </a:gdLst>
            <a:ahLst/>
            <a:cxnLst>
              <a:cxn ang="T6">
                <a:pos x="T0" y="T1"/>
              </a:cxn>
              <a:cxn ang="T7">
                <a:pos x="T2" y="T3"/>
              </a:cxn>
              <a:cxn ang="T8">
                <a:pos x="T4" y="T5"/>
              </a:cxn>
            </a:cxnLst>
            <a:rect l="T9" t="T10" r="T11" b="T12"/>
            <a:pathLst>
              <a:path w="174" h="1">
                <a:moveTo>
                  <a:pt x="0" y="0"/>
                </a:moveTo>
                <a:lnTo>
                  <a:pt x="174" y="0"/>
                </a:lnTo>
                <a:lnTo>
                  <a:pt x="0" y="0"/>
                </a:lnTo>
                <a:close/>
              </a:path>
            </a:pathLst>
          </a:custGeom>
          <a:noFill/>
          <a:ln w="9525" cap="flat" cmpd="sng">
            <a:solidFill>
              <a:srgbClr val="000000"/>
            </a:solidFill>
            <a:prstDash val="solid"/>
            <a:round/>
            <a:headEnd/>
            <a:tailEnd/>
          </a:ln>
          <a:extLst>
            <a:ext uri="{909E8E84-426E-40dd-AFC4-6F175D3DCCD1}">
              <a14:hiddenFill xmlns:a14="http://schemas.microsoft.com/office/drawing/2010/main" xmlns="">
                <a:solidFill>
                  <a:srgbClr val="FFFFFF"/>
                </a:solidFill>
              </a14:hiddenFill>
            </a:ext>
          </a:extLst>
        </xdr:spPr>
      </xdr:sp>
      <xdr:sp macro="" textlink="">
        <xdr:nvSpPr>
          <xdr:cNvPr id="787" name="Freeform 2139">
            <a:extLst>
              <a:ext uri="{FF2B5EF4-FFF2-40B4-BE49-F238E27FC236}">
                <a16:creationId xmlns:a16="http://schemas.microsoft.com/office/drawing/2014/main" id="{00000000-0008-0000-0000-000013030000}"/>
              </a:ext>
            </a:extLst>
          </xdr:cNvPr>
          <xdr:cNvSpPr>
            <a:spLocks/>
          </xdr:cNvSpPr>
        </xdr:nvSpPr>
        <xdr:spPr bwMode="auto">
          <a:xfrm>
            <a:off x="125" y="721"/>
            <a:ext cx="35" cy="1"/>
          </a:xfrm>
          <a:custGeom>
            <a:avLst/>
            <a:gdLst>
              <a:gd name="T0" fmla="*/ 0 w 174"/>
              <a:gd name="T1" fmla="*/ 0 h 1"/>
              <a:gd name="T2" fmla="*/ 0 w 174"/>
              <a:gd name="T3" fmla="*/ 0 h 1"/>
              <a:gd name="T4" fmla="*/ 0 w 174"/>
              <a:gd name="T5" fmla="*/ 0 h 1"/>
              <a:gd name="T6" fmla="*/ 0 60000 65536"/>
              <a:gd name="T7" fmla="*/ 0 60000 65536"/>
              <a:gd name="T8" fmla="*/ 0 60000 65536"/>
              <a:gd name="T9" fmla="*/ 0 w 174"/>
              <a:gd name="T10" fmla="*/ 0 h 1"/>
              <a:gd name="T11" fmla="*/ 174 w 174"/>
              <a:gd name="T12" fmla="*/ 1 h 1"/>
            </a:gdLst>
            <a:ahLst/>
            <a:cxnLst>
              <a:cxn ang="T6">
                <a:pos x="T0" y="T1"/>
              </a:cxn>
              <a:cxn ang="T7">
                <a:pos x="T2" y="T3"/>
              </a:cxn>
              <a:cxn ang="T8">
                <a:pos x="T4" y="T5"/>
              </a:cxn>
            </a:cxnLst>
            <a:rect l="T9" t="T10" r="T11" b="T12"/>
            <a:pathLst>
              <a:path w="174" h="1">
                <a:moveTo>
                  <a:pt x="0" y="0"/>
                </a:moveTo>
                <a:lnTo>
                  <a:pt x="174" y="0"/>
                </a:lnTo>
                <a:lnTo>
                  <a:pt x="0" y="0"/>
                </a:lnTo>
                <a:close/>
              </a:path>
            </a:pathLst>
          </a:custGeom>
          <a:noFill/>
          <a:ln w="9525" cap="flat" cmpd="sng">
            <a:solidFill>
              <a:srgbClr val="000000"/>
            </a:solidFill>
            <a:prstDash val="solid"/>
            <a:round/>
            <a:headEnd/>
            <a:tailEnd/>
          </a:ln>
          <a:extLst>
            <a:ext uri="{909E8E84-426E-40dd-AFC4-6F175D3DCCD1}">
              <a14:hiddenFill xmlns:a14="http://schemas.microsoft.com/office/drawing/2010/main" xmlns="">
                <a:solidFill>
                  <a:srgbClr val="FFFFFF"/>
                </a:solidFill>
              </a14:hiddenFill>
            </a:ext>
          </a:extLst>
        </xdr:spPr>
      </xdr:sp>
    </xdr:grpSp>
    <xdr:clientData/>
  </xdr:twoCellAnchor>
  <xdr:twoCellAnchor>
    <xdr:from>
      <xdr:col>1</xdr:col>
      <xdr:colOff>507999</xdr:colOff>
      <xdr:row>13</xdr:row>
      <xdr:rowOff>117930</xdr:rowOff>
    </xdr:from>
    <xdr:to>
      <xdr:col>1</xdr:col>
      <xdr:colOff>822324</xdr:colOff>
      <xdr:row>13</xdr:row>
      <xdr:rowOff>387816</xdr:rowOff>
    </xdr:to>
    <xdr:grpSp>
      <xdr:nvGrpSpPr>
        <xdr:cNvPr id="788" name="Group 107">
          <a:extLst>
            <a:ext uri="{FF2B5EF4-FFF2-40B4-BE49-F238E27FC236}">
              <a16:creationId xmlns:a16="http://schemas.microsoft.com/office/drawing/2014/main" id="{00000000-0008-0000-0000-000014030000}"/>
            </a:ext>
          </a:extLst>
        </xdr:cNvPr>
        <xdr:cNvGrpSpPr>
          <a:grpSpLocks/>
        </xdr:cNvGrpSpPr>
      </xdr:nvGrpSpPr>
      <xdr:grpSpPr bwMode="auto">
        <a:xfrm>
          <a:off x="1106713" y="4787901"/>
          <a:ext cx="314325" cy="269886"/>
          <a:chOff x="164" y="352"/>
          <a:chExt cx="17" cy="20"/>
        </a:xfrm>
      </xdr:grpSpPr>
      <xdr:sp macro="" textlink="">
        <xdr:nvSpPr>
          <xdr:cNvPr id="789" name="Rectangle 108">
            <a:extLst>
              <a:ext uri="{FF2B5EF4-FFF2-40B4-BE49-F238E27FC236}">
                <a16:creationId xmlns:a16="http://schemas.microsoft.com/office/drawing/2014/main" id="{00000000-0008-0000-0000-00001503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790" name="Line 109">
            <a:extLst>
              <a:ext uri="{FF2B5EF4-FFF2-40B4-BE49-F238E27FC236}">
                <a16:creationId xmlns:a16="http://schemas.microsoft.com/office/drawing/2014/main" id="{00000000-0008-0000-0000-00001603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791" name="Line 110">
            <a:extLst>
              <a:ext uri="{FF2B5EF4-FFF2-40B4-BE49-F238E27FC236}">
                <a16:creationId xmlns:a16="http://schemas.microsoft.com/office/drawing/2014/main" id="{00000000-0008-0000-0000-00001703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517071</xdr:colOff>
      <xdr:row>13</xdr:row>
      <xdr:rowOff>362860</xdr:rowOff>
    </xdr:from>
    <xdr:to>
      <xdr:col>1</xdr:col>
      <xdr:colOff>831396</xdr:colOff>
      <xdr:row>14</xdr:row>
      <xdr:rowOff>233604</xdr:rowOff>
    </xdr:to>
    <xdr:grpSp>
      <xdr:nvGrpSpPr>
        <xdr:cNvPr id="792" name="Group 107">
          <a:extLst>
            <a:ext uri="{FF2B5EF4-FFF2-40B4-BE49-F238E27FC236}">
              <a16:creationId xmlns:a16="http://schemas.microsoft.com/office/drawing/2014/main" id="{00000000-0008-0000-0000-000018030000}"/>
            </a:ext>
          </a:extLst>
        </xdr:cNvPr>
        <xdr:cNvGrpSpPr>
          <a:grpSpLocks/>
        </xdr:cNvGrpSpPr>
      </xdr:nvGrpSpPr>
      <xdr:grpSpPr bwMode="auto">
        <a:xfrm>
          <a:off x="1115785" y="5032831"/>
          <a:ext cx="314325" cy="262630"/>
          <a:chOff x="164" y="352"/>
          <a:chExt cx="17" cy="20"/>
        </a:xfrm>
      </xdr:grpSpPr>
      <xdr:sp macro="" textlink="">
        <xdr:nvSpPr>
          <xdr:cNvPr id="793" name="Rectangle 108">
            <a:extLst>
              <a:ext uri="{FF2B5EF4-FFF2-40B4-BE49-F238E27FC236}">
                <a16:creationId xmlns:a16="http://schemas.microsoft.com/office/drawing/2014/main" id="{00000000-0008-0000-0000-00001903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794" name="Line 109">
            <a:extLst>
              <a:ext uri="{FF2B5EF4-FFF2-40B4-BE49-F238E27FC236}">
                <a16:creationId xmlns:a16="http://schemas.microsoft.com/office/drawing/2014/main" id="{00000000-0008-0000-0000-00001A03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795" name="Line 110">
            <a:extLst>
              <a:ext uri="{FF2B5EF4-FFF2-40B4-BE49-F238E27FC236}">
                <a16:creationId xmlns:a16="http://schemas.microsoft.com/office/drawing/2014/main" id="{00000000-0008-0000-0000-00001B03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517072</xdr:colOff>
      <xdr:row>14</xdr:row>
      <xdr:rowOff>244929</xdr:rowOff>
    </xdr:from>
    <xdr:to>
      <xdr:col>1</xdr:col>
      <xdr:colOff>825500</xdr:colOff>
      <xdr:row>15</xdr:row>
      <xdr:rowOff>399143</xdr:rowOff>
    </xdr:to>
    <xdr:grpSp>
      <xdr:nvGrpSpPr>
        <xdr:cNvPr id="796" name="Group 6254">
          <a:extLst>
            <a:ext uri="{FF2B5EF4-FFF2-40B4-BE49-F238E27FC236}">
              <a16:creationId xmlns:a16="http://schemas.microsoft.com/office/drawing/2014/main" id="{00000000-0008-0000-0000-00001C030000}"/>
            </a:ext>
          </a:extLst>
        </xdr:cNvPr>
        <xdr:cNvGrpSpPr>
          <a:grpSpLocks/>
        </xdr:cNvGrpSpPr>
      </xdr:nvGrpSpPr>
      <xdr:grpSpPr bwMode="auto">
        <a:xfrm>
          <a:off x="1115786" y="5306786"/>
          <a:ext cx="308428" cy="448128"/>
          <a:chOff x="73" y="225"/>
          <a:chExt cx="17" cy="75"/>
        </a:xfrm>
      </xdr:grpSpPr>
      <xdr:sp macro="" textlink="">
        <xdr:nvSpPr>
          <xdr:cNvPr id="797" name="Rectangle 696">
            <a:extLst>
              <a:ext uri="{FF2B5EF4-FFF2-40B4-BE49-F238E27FC236}">
                <a16:creationId xmlns:a16="http://schemas.microsoft.com/office/drawing/2014/main" id="{00000000-0008-0000-0000-00001D03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798" name="Rectangle 697">
            <a:extLst>
              <a:ext uri="{FF2B5EF4-FFF2-40B4-BE49-F238E27FC236}">
                <a16:creationId xmlns:a16="http://schemas.microsoft.com/office/drawing/2014/main" id="{00000000-0008-0000-0000-00001E03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799" name="Freeform 698">
            <a:extLst>
              <a:ext uri="{FF2B5EF4-FFF2-40B4-BE49-F238E27FC236}">
                <a16:creationId xmlns:a16="http://schemas.microsoft.com/office/drawing/2014/main" id="{00000000-0008-0000-0000-00001F03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517074</xdr:colOff>
      <xdr:row>15</xdr:row>
      <xdr:rowOff>412338</xdr:rowOff>
    </xdr:from>
    <xdr:to>
      <xdr:col>1</xdr:col>
      <xdr:colOff>816429</xdr:colOff>
      <xdr:row>16</xdr:row>
      <xdr:rowOff>0</xdr:rowOff>
    </xdr:to>
    <xdr:grpSp>
      <xdr:nvGrpSpPr>
        <xdr:cNvPr id="800" name="Group 6254">
          <a:extLst>
            <a:ext uri="{FF2B5EF4-FFF2-40B4-BE49-F238E27FC236}">
              <a16:creationId xmlns:a16="http://schemas.microsoft.com/office/drawing/2014/main" id="{00000000-0008-0000-0000-000020030000}"/>
            </a:ext>
          </a:extLst>
        </xdr:cNvPr>
        <xdr:cNvGrpSpPr>
          <a:grpSpLocks/>
        </xdr:cNvGrpSpPr>
      </xdr:nvGrpSpPr>
      <xdr:grpSpPr bwMode="auto">
        <a:xfrm>
          <a:off x="1115788" y="5768109"/>
          <a:ext cx="299355" cy="66634"/>
          <a:chOff x="73" y="225"/>
          <a:chExt cx="17" cy="75"/>
        </a:xfrm>
      </xdr:grpSpPr>
      <xdr:sp macro="" textlink="">
        <xdr:nvSpPr>
          <xdr:cNvPr id="801" name="Rectangle 696">
            <a:extLst>
              <a:ext uri="{FF2B5EF4-FFF2-40B4-BE49-F238E27FC236}">
                <a16:creationId xmlns:a16="http://schemas.microsoft.com/office/drawing/2014/main" id="{00000000-0008-0000-0000-00002103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802" name="Rectangle 697">
            <a:extLst>
              <a:ext uri="{FF2B5EF4-FFF2-40B4-BE49-F238E27FC236}">
                <a16:creationId xmlns:a16="http://schemas.microsoft.com/office/drawing/2014/main" id="{00000000-0008-0000-0000-00002203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803" name="Freeform 698">
            <a:extLst>
              <a:ext uri="{FF2B5EF4-FFF2-40B4-BE49-F238E27FC236}">
                <a16:creationId xmlns:a16="http://schemas.microsoft.com/office/drawing/2014/main" id="{00000000-0008-0000-0000-00002303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498930</xdr:colOff>
      <xdr:row>18</xdr:row>
      <xdr:rowOff>272143</xdr:rowOff>
    </xdr:from>
    <xdr:to>
      <xdr:col>1</xdr:col>
      <xdr:colOff>861786</xdr:colOff>
      <xdr:row>19</xdr:row>
      <xdr:rowOff>281214</xdr:rowOff>
    </xdr:to>
    <xdr:grpSp>
      <xdr:nvGrpSpPr>
        <xdr:cNvPr id="502" name="Group 6254">
          <a:extLst>
            <a:ext uri="{FF2B5EF4-FFF2-40B4-BE49-F238E27FC236}">
              <a16:creationId xmlns:a16="http://schemas.microsoft.com/office/drawing/2014/main" id="{00000000-0008-0000-0000-0000F6010000}"/>
            </a:ext>
          </a:extLst>
        </xdr:cNvPr>
        <xdr:cNvGrpSpPr>
          <a:grpSpLocks/>
        </xdr:cNvGrpSpPr>
      </xdr:nvGrpSpPr>
      <xdr:grpSpPr bwMode="auto">
        <a:xfrm>
          <a:off x="1097644" y="6955972"/>
          <a:ext cx="362856" cy="433613"/>
          <a:chOff x="73" y="225"/>
          <a:chExt cx="17" cy="75"/>
        </a:xfrm>
      </xdr:grpSpPr>
      <xdr:sp macro="" textlink="">
        <xdr:nvSpPr>
          <xdr:cNvPr id="503" name="Rectangle 696">
            <a:extLst>
              <a:ext uri="{FF2B5EF4-FFF2-40B4-BE49-F238E27FC236}">
                <a16:creationId xmlns:a16="http://schemas.microsoft.com/office/drawing/2014/main" id="{00000000-0008-0000-0000-0000F7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504" name="Rectangle 697">
            <a:extLst>
              <a:ext uri="{FF2B5EF4-FFF2-40B4-BE49-F238E27FC236}">
                <a16:creationId xmlns:a16="http://schemas.microsoft.com/office/drawing/2014/main" id="{00000000-0008-0000-0000-0000F8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505" name="Freeform 698">
            <a:extLst>
              <a:ext uri="{FF2B5EF4-FFF2-40B4-BE49-F238E27FC236}">
                <a16:creationId xmlns:a16="http://schemas.microsoft.com/office/drawing/2014/main" id="{00000000-0008-0000-0000-0000F9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516246</xdr:colOff>
      <xdr:row>11</xdr:row>
      <xdr:rowOff>255649</xdr:rowOff>
    </xdr:from>
    <xdr:to>
      <xdr:col>1</xdr:col>
      <xdr:colOff>816430</xdr:colOff>
      <xdr:row>13</xdr:row>
      <xdr:rowOff>99787</xdr:rowOff>
    </xdr:to>
    <xdr:grpSp>
      <xdr:nvGrpSpPr>
        <xdr:cNvPr id="506" name="Group 6254">
          <a:extLst>
            <a:ext uri="{FF2B5EF4-FFF2-40B4-BE49-F238E27FC236}">
              <a16:creationId xmlns:a16="http://schemas.microsoft.com/office/drawing/2014/main" id="{00000000-0008-0000-0000-0000FA010000}"/>
            </a:ext>
          </a:extLst>
        </xdr:cNvPr>
        <xdr:cNvGrpSpPr>
          <a:grpSpLocks/>
        </xdr:cNvGrpSpPr>
      </xdr:nvGrpSpPr>
      <xdr:grpSpPr bwMode="auto">
        <a:xfrm>
          <a:off x="1114960" y="4239820"/>
          <a:ext cx="300184" cy="529938"/>
          <a:chOff x="73" y="225"/>
          <a:chExt cx="17" cy="75"/>
        </a:xfrm>
      </xdr:grpSpPr>
      <xdr:sp macro="" textlink="">
        <xdr:nvSpPr>
          <xdr:cNvPr id="507" name="Rectangle 696">
            <a:extLst>
              <a:ext uri="{FF2B5EF4-FFF2-40B4-BE49-F238E27FC236}">
                <a16:creationId xmlns:a16="http://schemas.microsoft.com/office/drawing/2014/main" id="{00000000-0008-0000-0000-0000FB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508" name="Rectangle 697">
            <a:extLst>
              <a:ext uri="{FF2B5EF4-FFF2-40B4-BE49-F238E27FC236}">
                <a16:creationId xmlns:a16="http://schemas.microsoft.com/office/drawing/2014/main" id="{00000000-0008-0000-0000-0000FC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509" name="Freeform 698">
            <a:extLst>
              <a:ext uri="{FF2B5EF4-FFF2-40B4-BE49-F238E27FC236}">
                <a16:creationId xmlns:a16="http://schemas.microsoft.com/office/drawing/2014/main" id="{00000000-0008-0000-0000-0000FD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editAs="oneCell">
    <xdr:from>
      <xdr:col>1</xdr:col>
      <xdr:colOff>535215</xdr:colOff>
      <xdr:row>37</xdr:row>
      <xdr:rowOff>9072</xdr:rowOff>
    </xdr:from>
    <xdr:to>
      <xdr:col>1</xdr:col>
      <xdr:colOff>878115</xdr:colOff>
      <xdr:row>38</xdr:row>
      <xdr:rowOff>9070</xdr:rowOff>
    </xdr:to>
    <xdr:pic>
      <xdr:nvPicPr>
        <xdr:cNvPr id="601" name="Picture 19">
          <a:extLst>
            <a:ext uri="{FF2B5EF4-FFF2-40B4-BE49-F238E27FC236}">
              <a16:creationId xmlns:a16="http://schemas.microsoft.com/office/drawing/2014/main" id="{00000000-0008-0000-0000-00005902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52072" y="11684001"/>
          <a:ext cx="342900" cy="326567"/>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498928</xdr:colOff>
      <xdr:row>19</xdr:row>
      <xdr:rowOff>299357</xdr:rowOff>
    </xdr:from>
    <xdr:to>
      <xdr:col>1</xdr:col>
      <xdr:colOff>870857</xdr:colOff>
      <xdr:row>20</xdr:row>
      <xdr:rowOff>306173</xdr:rowOff>
    </xdr:to>
    <xdr:grpSp>
      <xdr:nvGrpSpPr>
        <xdr:cNvPr id="602" name="Group 107">
          <a:extLst>
            <a:ext uri="{FF2B5EF4-FFF2-40B4-BE49-F238E27FC236}">
              <a16:creationId xmlns:a16="http://schemas.microsoft.com/office/drawing/2014/main" id="{00000000-0008-0000-0000-00005A020000}"/>
            </a:ext>
          </a:extLst>
        </xdr:cNvPr>
        <xdr:cNvGrpSpPr>
          <a:grpSpLocks/>
        </xdr:cNvGrpSpPr>
      </xdr:nvGrpSpPr>
      <xdr:grpSpPr bwMode="auto">
        <a:xfrm>
          <a:off x="1097642" y="7407728"/>
          <a:ext cx="371929" cy="344274"/>
          <a:chOff x="164" y="352"/>
          <a:chExt cx="17" cy="20"/>
        </a:xfrm>
      </xdr:grpSpPr>
      <xdr:sp macro="" textlink="">
        <xdr:nvSpPr>
          <xdr:cNvPr id="603" name="Rectangle 108">
            <a:extLst>
              <a:ext uri="{FF2B5EF4-FFF2-40B4-BE49-F238E27FC236}">
                <a16:creationId xmlns:a16="http://schemas.microsoft.com/office/drawing/2014/main" id="{00000000-0008-0000-0000-00005B02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604" name="Line 109">
            <a:extLst>
              <a:ext uri="{FF2B5EF4-FFF2-40B4-BE49-F238E27FC236}">
                <a16:creationId xmlns:a16="http://schemas.microsoft.com/office/drawing/2014/main" id="{00000000-0008-0000-0000-00005C02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05" name="Line 110">
            <a:extLst>
              <a:ext uri="{FF2B5EF4-FFF2-40B4-BE49-F238E27FC236}">
                <a16:creationId xmlns:a16="http://schemas.microsoft.com/office/drawing/2014/main" id="{00000000-0008-0000-0000-00005D02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517073</xdr:colOff>
      <xdr:row>17</xdr:row>
      <xdr:rowOff>394715</xdr:rowOff>
    </xdr:from>
    <xdr:to>
      <xdr:col>1</xdr:col>
      <xdr:colOff>831398</xdr:colOff>
      <xdr:row>18</xdr:row>
      <xdr:rowOff>251738</xdr:rowOff>
    </xdr:to>
    <xdr:grpSp>
      <xdr:nvGrpSpPr>
        <xdr:cNvPr id="606" name="Group 107">
          <a:extLst>
            <a:ext uri="{FF2B5EF4-FFF2-40B4-BE49-F238E27FC236}">
              <a16:creationId xmlns:a16="http://schemas.microsoft.com/office/drawing/2014/main" id="{00000000-0008-0000-0000-00005E020000}"/>
            </a:ext>
          </a:extLst>
        </xdr:cNvPr>
        <xdr:cNvGrpSpPr>
          <a:grpSpLocks/>
        </xdr:cNvGrpSpPr>
      </xdr:nvGrpSpPr>
      <xdr:grpSpPr bwMode="auto">
        <a:xfrm>
          <a:off x="1115787" y="6654001"/>
          <a:ext cx="314325" cy="281566"/>
          <a:chOff x="164" y="351"/>
          <a:chExt cx="17" cy="21"/>
        </a:xfrm>
      </xdr:grpSpPr>
      <xdr:sp macro="" textlink="">
        <xdr:nvSpPr>
          <xdr:cNvPr id="607" name="Rectangle 108">
            <a:extLst>
              <a:ext uri="{FF2B5EF4-FFF2-40B4-BE49-F238E27FC236}">
                <a16:creationId xmlns:a16="http://schemas.microsoft.com/office/drawing/2014/main" id="{00000000-0008-0000-0000-00005F02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608" name="Line 109">
            <a:extLst>
              <a:ext uri="{FF2B5EF4-FFF2-40B4-BE49-F238E27FC236}">
                <a16:creationId xmlns:a16="http://schemas.microsoft.com/office/drawing/2014/main" id="{00000000-0008-0000-0000-00006002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09" name="Line 110">
            <a:extLst>
              <a:ext uri="{FF2B5EF4-FFF2-40B4-BE49-F238E27FC236}">
                <a16:creationId xmlns:a16="http://schemas.microsoft.com/office/drawing/2014/main" id="{00000000-0008-0000-0000-000061020000}"/>
              </a:ext>
            </a:extLst>
          </xdr:cNvPr>
          <xdr:cNvSpPr>
            <a:spLocks noChangeShapeType="1"/>
          </xdr:cNvSpPr>
        </xdr:nvSpPr>
        <xdr:spPr bwMode="auto">
          <a:xfrm flipH="1">
            <a:off x="164" y="351"/>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498928</xdr:colOff>
      <xdr:row>16</xdr:row>
      <xdr:rowOff>335642</xdr:rowOff>
    </xdr:from>
    <xdr:to>
      <xdr:col>1</xdr:col>
      <xdr:colOff>843643</xdr:colOff>
      <xdr:row>17</xdr:row>
      <xdr:rowOff>408213</xdr:rowOff>
    </xdr:to>
    <xdr:grpSp>
      <xdr:nvGrpSpPr>
        <xdr:cNvPr id="610" name="Group 6254">
          <a:extLst>
            <a:ext uri="{FF2B5EF4-FFF2-40B4-BE49-F238E27FC236}">
              <a16:creationId xmlns:a16="http://schemas.microsoft.com/office/drawing/2014/main" id="{00000000-0008-0000-0000-000062020000}"/>
            </a:ext>
          </a:extLst>
        </xdr:cNvPr>
        <xdr:cNvGrpSpPr>
          <a:grpSpLocks/>
        </xdr:cNvGrpSpPr>
      </xdr:nvGrpSpPr>
      <xdr:grpSpPr bwMode="auto">
        <a:xfrm>
          <a:off x="1097642" y="6170385"/>
          <a:ext cx="344715" cy="497114"/>
          <a:chOff x="73" y="225"/>
          <a:chExt cx="17" cy="75"/>
        </a:xfrm>
      </xdr:grpSpPr>
      <xdr:sp macro="" textlink="">
        <xdr:nvSpPr>
          <xdr:cNvPr id="611" name="Rectangle 696">
            <a:extLst>
              <a:ext uri="{FF2B5EF4-FFF2-40B4-BE49-F238E27FC236}">
                <a16:creationId xmlns:a16="http://schemas.microsoft.com/office/drawing/2014/main" id="{00000000-0008-0000-0000-00006302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612" name="Rectangle 697">
            <a:extLst>
              <a:ext uri="{FF2B5EF4-FFF2-40B4-BE49-F238E27FC236}">
                <a16:creationId xmlns:a16="http://schemas.microsoft.com/office/drawing/2014/main" id="{00000000-0008-0000-0000-00006402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613" name="Freeform 698">
            <a:extLst>
              <a:ext uri="{FF2B5EF4-FFF2-40B4-BE49-F238E27FC236}">
                <a16:creationId xmlns:a16="http://schemas.microsoft.com/office/drawing/2014/main" id="{00000000-0008-0000-0000-00006502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507999</xdr:colOff>
      <xdr:row>16</xdr:row>
      <xdr:rowOff>0</xdr:rowOff>
    </xdr:from>
    <xdr:to>
      <xdr:col>1</xdr:col>
      <xdr:colOff>825501</xdr:colOff>
      <xdr:row>16</xdr:row>
      <xdr:rowOff>326571</xdr:rowOff>
    </xdr:to>
    <xdr:grpSp>
      <xdr:nvGrpSpPr>
        <xdr:cNvPr id="614" name="Group 107">
          <a:extLst>
            <a:ext uri="{FF2B5EF4-FFF2-40B4-BE49-F238E27FC236}">
              <a16:creationId xmlns:a16="http://schemas.microsoft.com/office/drawing/2014/main" id="{00000000-0008-0000-0000-000066020000}"/>
            </a:ext>
          </a:extLst>
        </xdr:cNvPr>
        <xdr:cNvGrpSpPr>
          <a:grpSpLocks/>
        </xdr:cNvGrpSpPr>
      </xdr:nvGrpSpPr>
      <xdr:grpSpPr bwMode="auto">
        <a:xfrm>
          <a:off x="1106713" y="5834743"/>
          <a:ext cx="317502" cy="326571"/>
          <a:chOff x="164" y="351"/>
          <a:chExt cx="17" cy="21"/>
        </a:xfrm>
      </xdr:grpSpPr>
      <xdr:sp macro="" textlink="">
        <xdr:nvSpPr>
          <xdr:cNvPr id="615" name="Rectangle 108">
            <a:extLst>
              <a:ext uri="{FF2B5EF4-FFF2-40B4-BE49-F238E27FC236}">
                <a16:creationId xmlns:a16="http://schemas.microsoft.com/office/drawing/2014/main" id="{00000000-0008-0000-0000-00006702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616" name="Line 109">
            <a:extLst>
              <a:ext uri="{FF2B5EF4-FFF2-40B4-BE49-F238E27FC236}">
                <a16:creationId xmlns:a16="http://schemas.microsoft.com/office/drawing/2014/main" id="{00000000-0008-0000-0000-00006802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17" name="Line 110">
            <a:extLst>
              <a:ext uri="{FF2B5EF4-FFF2-40B4-BE49-F238E27FC236}">
                <a16:creationId xmlns:a16="http://schemas.microsoft.com/office/drawing/2014/main" id="{00000000-0008-0000-0000-000069020000}"/>
              </a:ext>
            </a:extLst>
          </xdr:cNvPr>
          <xdr:cNvSpPr>
            <a:spLocks noChangeShapeType="1"/>
          </xdr:cNvSpPr>
        </xdr:nvSpPr>
        <xdr:spPr bwMode="auto">
          <a:xfrm flipH="1">
            <a:off x="164" y="351"/>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553357</xdr:colOff>
      <xdr:row>54</xdr:row>
      <xdr:rowOff>15668</xdr:rowOff>
    </xdr:from>
    <xdr:to>
      <xdr:col>1</xdr:col>
      <xdr:colOff>907967</xdr:colOff>
      <xdr:row>54</xdr:row>
      <xdr:rowOff>504700</xdr:rowOff>
    </xdr:to>
    <xdr:grpSp>
      <xdr:nvGrpSpPr>
        <xdr:cNvPr id="650" name="Group 1223">
          <a:extLst>
            <a:ext uri="{FF2B5EF4-FFF2-40B4-BE49-F238E27FC236}">
              <a16:creationId xmlns:a16="http://schemas.microsoft.com/office/drawing/2014/main" id="{00000000-0008-0000-0000-00008A020000}"/>
            </a:ext>
          </a:extLst>
        </xdr:cNvPr>
        <xdr:cNvGrpSpPr>
          <a:grpSpLocks/>
        </xdr:cNvGrpSpPr>
      </xdr:nvGrpSpPr>
      <xdr:grpSpPr bwMode="auto">
        <a:xfrm>
          <a:off x="1152071" y="19414011"/>
          <a:ext cx="354610" cy="489032"/>
          <a:chOff x="2880" y="1620"/>
          <a:chExt cx="393" cy="639"/>
        </a:xfrm>
      </xdr:grpSpPr>
      <xdr:sp macro="" textlink="">
        <xdr:nvSpPr>
          <xdr:cNvPr id="651" name="Rectangle 316">
            <a:extLst>
              <a:ext uri="{FF2B5EF4-FFF2-40B4-BE49-F238E27FC236}">
                <a16:creationId xmlns:a16="http://schemas.microsoft.com/office/drawing/2014/main" id="{00000000-0008-0000-0000-00008B020000}"/>
              </a:ext>
            </a:extLst>
          </xdr:cNvPr>
          <xdr:cNvSpPr>
            <a:spLocks noChangeArrowheads="1"/>
          </xdr:cNvSpPr>
        </xdr:nvSpPr>
        <xdr:spPr bwMode="auto">
          <a:xfrm>
            <a:off x="2880" y="1647"/>
            <a:ext cx="382" cy="585"/>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lnSpc>
                <a:spcPts val="1200"/>
              </a:lnSpc>
              <a:defRPr sz="1000"/>
            </a:pPr>
            <a:endParaRPr lang="en-US" sz="1200" b="0" i="0" u="none" strike="noStrike" baseline="0">
              <a:solidFill>
                <a:srgbClr val="000000"/>
              </a:solidFill>
              <a:latin typeface="Times New Roman"/>
              <a:cs typeface="Times New Roman"/>
            </a:endParaRPr>
          </a:p>
        </xdr:txBody>
      </xdr:sp>
      <xdr:sp macro="" textlink="">
        <xdr:nvSpPr>
          <xdr:cNvPr id="652" name="Freeform 317">
            <a:extLst>
              <a:ext uri="{FF2B5EF4-FFF2-40B4-BE49-F238E27FC236}">
                <a16:creationId xmlns:a16="http://schemas.microsoft.com/office/drawing/2014/main" id="{00000000-0008-0000-0000-00008C020000}"/>
              </a:ext>
            </a:extLst>
          </xdr:cNvPr>
          <xdr:cNvSpPr>
            <a:spLocks/>
          </xdr:cNvSpPr>
        </xdr:nvSpPr>
        <xdr:spPr bwMode="auto">
          <a:xfrm>
            <a:off x="2880" y="1620"/>
            <a:ext cx="390" cy="20"/>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653" name="Rectangle 319">
            <a:extLst>
              <a:ext uri="{FF2B5EF4-FFF2-40B4-BE49-F238E27FC236}">
                <a16:creationId xmlns:a16="http://schemas.microsoft.com/office/drawing/2014/main" id="{00000000-0008-0000-0000-00008D020000}"/>
              </a:ext>
            </a:extLst>
          </xdr:cNvPr>
          <xdr:cNvSpPr>
            <a:spLocks noChangeArrowheads="1"/>
          </xdr:cNvSpPr>
        </xdr:nvSpPr>
        <xdr:spPr bwMode="auto">
          <a:xfrm>
            <a:off x="3082" y="1688"/>
            <a:ext cx="67" cy="43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lnSpc>
                <a:spcPts val="1200"/>
              </a:lnSpc>
              <a:defRPr sz="1000"/>
            </a:pPr>
            <a:endParaRPr lang="en-US" sz="1200" b="0" i="0" u="none" strike="noStrike" baseline="0">
              <a:solidFill>
                <a:srgbClr val="000000"/>
              </a:solidFill>
              <a:latin typeface="Times New Roman"/>
              <a:cs typeface="Times New Roman"/>
            </a:endParaRPr>
          </a:p>
        </xdr:txBody>
      </xdr:sp>
      <xdr:grpSp>
        <xdr:nvGrpSpPr>
          <xdr:cNvPr id="654" name="Group 320">
            <a:extLst>
              <a:ext uri="{FF2B5EF4-FFF2-40B4-BE49-F238E27FC236}">
                <a16:creationId xmlns:a16="http://schemas.microsoft.com/office/drawing/2014/main" id="{00000000-0008-0000-0000-00008E020000}"/>
              </a:ext>
            </a:extLst>
          </xdr:cNvPr>
          <xdr:cNvGrpSpPr>
            <a:grpSpLocks/>
          </xdr:cNvGrpSpPr>
        </xdr:nvGrpSpPr>
        <xdr:grpSpPr bwMode="auto">
          <a:xfrm>
            <a:off x="1896" y="2133"/>
            <a:ext cx="2" cy="29"/>
            <a:chOff x="76" y="2123"/>
            <a:chExt cx="2" cy="2"/>
          </a:xfrm>
        </xdr:grpSpPr>
        <xdr:sp macro="" textlink="">
          <xdr:nvSpPr>
            <xdr:cNvPr id="662" name="Line 321">
              <a:extLst>
                <a:ext uri="{FF2B5EF4-FFF2-40B4-BE49-F238E27FC236}">
                  <a16:creationId xmlns:a16="http://schemas.microsoft.com/office/drawing/2014/main" id="{00000000-0008-0000-0000-000096020000}"/>
                </a:ext>
              </a:extLst>
            </xdr:cNvPr>
            <xdr:cNvSpPr>
              <a:spLocks noChangeShapeType="1"/>
            </xdr:cNvSpPr>
          </xdr:nvSpPr>
          <xdr:spPr bwMode="auto">
            <a:xfrm flipV="1">
              <a:off x="76" y="2123"/>
              <a:ext cx="0" cy="2"/>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63" name="Line 322">
              <a:extLst>
                <a:ext uri="{FF2B5EF4-FFF2-40B4-BE49-F238E27FC236}">
                  <a16:creationId xmlns:a16="http://schemas.microsoft.com/office/drawing/2014/main" id="{00000000-0008-0000-0000-000097020000}"/>
                </a:ext>
              </a:extLst>
            </xdr:cNvPr>
            <xdr:cNvSpPr>
              <a:spLocks noChangeShapeType="1"/>
            </xdr:cNvSpPr>
          </xdr:nvSpPr>
          <xdr:spPr bwMode="auto">
            <a:xfrm>
              <a:off x="76" y="2123"/>
              <a:ext cx="2"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64" name="Line 323">
              <a:extLst>
                <a:ext uri="{FF2B5EF4-FFF2-40B4-BE49-F238E27FC236}">
                  <a16:creationId xmlns:a16="http://schemas.microsoft.com/office/drawing/2014/main" id="{00000000-0008-0000-0000-000098020000}"/>
                </a:ext>
              </a:extLst>
            </xdr:cNvPr>
            <xdr:cNvSpPr>
              <a:spLocks noChangeShapeType="1"/>
            </xdr:cNvSpPr>
          </xdr:nvSpPr>
          <xdr:spPr bwMode="auto">
            <a:xfrm>
              <a:off x="78" y="2123"/>
              <a:ext cx="0" cy="2"/>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sp macro="" textlink="">
        <xdr:nvSpPr>
          <xdr:cNvPr id="655" name="Line 324">
            <a:extLst>
              <a:ext uri="{FF2B5EF4-FFF2-40B4-BE49-F238E27FC236}">
                <a16:creationId xmlns:a16="http://schemas.microsoft.com/office/drawing/2014/main" id="{00000000-0008-0000-0000-00008F020000}"/>
              </a:ext>
            </a:extLst>
          </xdr:cNvPr>
          <xdr:cNvSpPr>
            <a:spLocks noChangeShapeType="1"/>
          </xdr:cNvSpPr>
        </xdr:nvSpPr>
        <xdr:spPr bwMode="auto">
          <a:xfrm>
            <a:off x="3112" y="2162"/>
            <a:ext cx="34"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56" name="Rectangle 326">
            <a:extLst>
              <a:ext uri="{FF2B5EF4-FFF2-40B4-BE49-F238E27FC236}">
                <a16:creationId xmlns:a16="http://schemas.microsoft.com/office/drawing/2014/main" id="{00000000-0008-0000-0000-000090020000}"/>
              </a:ext>
            </a:extLst>
          </xdr:cNvPr>
          <xdr:cNvSpPr>
            <a:spLocks noChangeArrowheads="1"/>
          </xdr:cNvSpPr>
        </xdr:nvSpPr>
        <xdr:spPr bwMode="auto">
          <a:xfrm>
            <a:off x="2992" y="1688"/>
            <a:ext cx="67" cy="435"/>
          </a:xfrm>
          <a:prstGeom prst="rect">
            <a:avLst/>
          </a:prstGeom>
          <a:solidFill>
            <a:srgbClr val="C0C0C0"/>
          </a:soli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lnSpc>
                <a:spcPts val="1200"/>
              </a:lnSpc>
              <a:defRPr sz="1000"/>
            </a:pPr>
            <a:endParaRPr lang="en-US" sz="1200" b="0" i="0" u="none" strike="noStrike" baseline="0">
              <a:solidFill>
                <a:srgbClr val="000000"/>
              </a:solidFill>
              <a:latin typeface="Times New Roman"/>
              <a:cs typeface="Times New Roman"/>
            </a:endParaRPr>
          </a:p>
        </xdr:txBody>
      </xdr:sp>
      <xdr:grpSp>
        <xdr:nvGrpSpPr>
          <xdr:cNvPr id="657" name="Group 327">
            <a:extLst>
              <a:ext uri="{FF2B5EF4-FFF2-40B4-BE49-F238E27FC236}">
                <a16:creationId xmlns:a16="http://schemas.microsoft.com/office/drawing/2014/main" id="{00000000-0008-0000-0000-000091020000}"/>
              </a:ext>
            </a:extLst>
          </xdr:cNvPr>
          <xdr:cNvGrpSpPr>
            <a:grpSpLocks/>
          </xdr:cNvGrpSpPr>
        </xdr:nvGrpSpPr>
        <xdr:grpSpPr bwMode="auto">
          <a:xfrm>
            <a:off x="1789" y="2133"/>
            <a:ext cx="2" cy="29"/>
            <a:chOff x="76" y="2123"/>
            <a:chExt cx="2" cy="2"/>
          </a:xfrm>
        </xdr:grpSpPr>
        <xdr:sp macro="" textlink="">
          <xdr:nvSpPr>
            <xdr:cNvPr id="660" name="Line 328">
              <a:extLst>
                <a:ext uri="{FF2B5EF4-FFF2-40B4-BE49-F238E27FC236}">
                  <a16:creationId xmlns:a16="http://schemas.microsoft.com/office/drawing/2014/main" id="{00000000-0008-0000-0000-000094020000}"/>
                </a:ext>
              </a:extLst>
            </xdr:cNvPr>
            <xdr:cNvSpPr>
              <a:spLocks noChangeShapeType="1"/>
            </xdr:cNvSpPr>
          </xdr:nvSpPr>
          <xdr:spPr bwMode="auto">
            <a:xfrm flipV="1">
              <a:off x="76" y="2123"/>
              <a:ext cx="0" cy="2"/>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61" name="Line 329">
              <a:extLst>
                <a:ext uri="{FF2B5EF4-FFF2-40B4-BE49-F238E27FC236}">
                  <a16:creationId xmlns:a16="http://schemas.microsoft.com/office/drawing/2014/main" id="{00000000-0008-0000-0000-000095020000}"/>
                </a:ext>
              </a:extLst>
            </xdr:cNvPr>
            <xdr:cNvSpPr>
              <a:spLocks noChangeShapeType="1"/>
            </xdr:cNvSpPr>
          </xdr:nvSpPr>
          <xdr:spPr bwMode="auto">
            <a:xfrm>
              <a:off x="76" y="2123"/>
              <a:ext cx="2"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sp macro="" textlink="">
        <xdr:nvSpPr>
          <xdr:cNvPr id="658" name="Line 331">
            <a:extLst>
              <a:ext uri="{FF2B5EF4-FFF2-40B4-BE49-F238E27FC236}">
                <a16:creationId xmlns:a16="http://schemas.microsoft.com/office/drawing/2014/main" id="{00000000-0008-0000-0000-000092020000}"/>
              </a:ext>
            </a:extLst>
          </xdr:cNvPr>
          <xdr:cNvSpPr>
            <a:spLocks noChangeShapeType="1"/>
          </xdr:cNvSpPr>
        </xdr:nvSpPr>
        <xdr:spPr bwMode="auto">
          <a:xfrm>
            <a:off x="3005" y="2162"/>
            <a:ext cx="34"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659" name="Freeform 317">
            <a:extLst>
              <a:ext uri="{FF2B5EF4-FFF2-40B4-BE49-F238E27FC236}">
                <a16:creationId xmlns:a16="http://schemas.microsoft.com/office/drawing/2014/main" id="{00000000-0008-0000-0000-000093020000}"/>
              </a:ext>
            </a:extLst>
          </xdr:cNvPr>
          <xdr:cNvSpPr>
            <a:spLocks/>
          </xdr:cNvSpPr>
        </xdr:nvSpPr>
        <xdr:spPr bwMode="auto">
          <a:xfrm flipV="1">
            <a:off x="2883" y="2240"/>
            <a:ext cx="390" cy="19"/>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grpSp>
    <xdr:clientData/>
  </xdr:twoCellAnchor>
  <xdr:twoCellAnchor>
    <xdr:from>
      <xdr:col>1</xdr:col>
      <xdr:colOff>563563</xdr:colOff>
      <xdr:row>79</xdr:row>
      <xdr:rowOff>0</xdr:rowOff>
    </xdr:from>
    <xdr:to>
      <xdr:col>1</xdr:col>
      <xdr:colOff>839524</xdr:colOff>
      <xdr:row>80</xdr:row>
      <xdr:rowOff>0</xdr:rowOff>
    </xdr:to>
    <xdr:grpSp>
      <xdr:nvGrpSpPr>
        <xdr:cNvPr id="553" name="Group 466">
          <a:extLst>
            <a:ext uri="{FF2B5EF4-FFF2-40B4-BE49-F238E27FC236}">
              <a16:creationId xmlns:a16="http://schemas.microsoft.com/office/drawing/2014/main" id="{00000000-0008-0000-0000-000029020000}"/>
            </a:ext>
          </a:extLst>
        </xdr:cNvPr>
        <xdr:cNvGrpSpPr>
          <a:grpSpLocks/>
        </xdr:cNvGrpSpPr>
      </xdr:nvGrpSpPr>
      <xdr:grpSpPr bwMode="auto">
        <a:xfrm>
          <a:off x="1162277" y="28455257"/>
          <a:ext cx="275961" cy="370114"/>
          <a:chOff x="401" y="230"/>
          <a:chExt cx="95" cy="183"/>
        </a:xfrm>
        <a:solidFill>
          <a:srgbClr val="FFC000"/>
        </a:solidFill>
      </xdr:grpSpPr>
      <xdr:grpSp>
        <xdr:nvGrpSpPr>
          <xdr:cNvPr id="554" name="Group 467">
            <a:extLst>
              <a:ext uri="{FF2B5EF4-FFF2-40B4-BE49-F238E27FC236}">
                <a16:creationId xmlns:a16="http://schemas.microsoft.com/office/drawing/2014/main" id="{00000000-0008-0000-0000-00002A020000}"/>
              </a:ext>
            </a:extLst>
          </xdr:cNvPr>
          <xdr:cNvGrpSpPr>
            <a:grpSpLocks/>
          </xdr:cNvGrpSpPr>
        </xdr:nvGrpSpPr>
        <xdr:grpSpPr bwMode="auto">
          <a:xfrm>
            <a:off x="401" y="230"/>
            <a:ext cx="95" cy="183"/>
            <a:chOff x="390" y="230"/>
            <a:chExt cx="182" cy="165"/>
          </a:xfrm>
          <a:grpFill/>
        </xdr:grpSpPr>
        <xdr:sp macro="" textlink="">
          <xdr:nvSpPr>
            <xdr:cNvPr id="565" name="Freeform 468">
              <a:extLst>
                <a:ext uri="{FF2B5EF4-FFF2-40B4-BE49-F238E27FC236}">
                  <a16:creationId xmlns:a16="http://schemas.microsoft.com/office/drawing/2014/main" id="{00000000-0008-0000-0000-00003502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566" name="Rectangle 469">
              <a:extLst>
                <a:ext uri="{FF2B5EF4-FFF2-40B4-BE49-F238E27FC236}">
                  <a16:creationId xmlns:a16="http://schemas.microsoft.com/office/drawing/2014/main" id="{00000000-0008-0000-0000-000036020000}"/>
                </a:ext>
              </a:extLst>
            </xdr:cNvPr>
            <xdr:cNvSpPr>
              <a:spLocks noChangeArrowheads="1"/>
            </xdr:cNvSpPr>
          </xdr:nvSpPr>
          <xdr:spPr bwMode="auto">
            <a:xfrm>
              <a:off x="391" y="237"/>
              <a:ext cx="180" cy="152"/>
            </a:xfrm>
            <a:prstGeom prst="rect">
              <a:avLst/>
            </a:prstGeom>
            <a:grp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567" name="Freeform 470">
              <a:extLst>
                <a:ext uri="{FF2B5EF4-FFF2-40B4-BE49-F238E27FC236}">
                  <a16:creationId xmlns:a16="http://schemas.microsoft.com/office/drawing/2014/main" id="{00000000-0008-0000-0000-00003702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555" name="Group 471">
            <a:extLst>
              <a:ext uri="{FF2B5EF4-FFF2-40B4-BE49-F238E27FC236}">
                <a16:creationId xmlns:a16="http://schemas.microsoft.com/office/drawing/2014/main" id="{00000000-0008-0000-0000-00002B020000}"/>
              </a:ext>
            </a:extLst>
          </xdr:cNvPr>
          <xdr:cNvGrpSpPr>
            <a:grpSpLocks/>
          </xdr:cNvGrpSpPr>
        </xdr:nvGrpSpPr>
        <xdr:grpSpPr bwMode="auto">
          <a:xfrm>
            <a:off x="402" y="246"/>
            <a:ext cx="94" cy="152"/>
            <a:chOff x="402" y="246"/>
            <a:chExt cx="94" cy="152"/>
          </a:xfrm>
          <a:grpFill/>
        </xdr:grpSpPr>
        <xdr:sp macro="" textlink="">
          <xdr:nvSpPr>
            <xdr:cNvPr id="556" name="Oval 472">
              <a:extLst>
                <a:ext uri="{FF2B5EF4-FFF2-40B4-BE49-F238E27FC236}">
                  <a16:creationId xmlns:a16="http://schemas.microsoft.com/office/drawing/2014/main" id="{00000000-0008-0000-0000-00002C020000}"/>
                </a:ext>
              </a:extLst>
            </xdr:cNvPr>
            <xdr:cNvSpPr>
              <a:spLocks noChangeArrowheads="1"/>
            </xdr:cNvSpPr>
          </xdr:nvSpPr>
          <xdr:spPr bwMode="auto">
            <a:xfrm>
              <a:off x="439" y="246"/>
              <a:ext cx="19" cy="17"/>
            </a:xfrm>
            <a:prstGeom prst="ellipse">
              <a:avLst/>
            </a:prstGeom>
            <a:grpFill/>
            <a:ln w="9525">
              <a:solidFill>
                <a:srgbClr val="000000"/>
              </a:solidFill>
              <a:round/>
              <a:headEnd/>
              <a:tailEnd/>
            </a:ln>
          </xdr:spPr>
        </xdr:sp>
        <xdr:sp macro="" textlink="">
          <xdr:nvSpPr>
            <xdr:cNvPr id="557" name="AutoShape 473">
              <a:extLst>
                <a:ext uri="{FF2B5EF4-FFF2-40B4-BE49-F238E27FC236}">
                  <a16:creationId xmlns:a16="http://schemas.microsoft.com/office/drawing/2014/main" id="{00000000-0008-0000-0000-00002D020000}"/>
                </a:ext>
              </a:extLst>
            </xdr:cNvPr>
            <xdr:cNvSpPr>
              <a:spLocks noChangeArrowheads="1"/>
            </xdr:cNvSpPr>
          </xdr:nvSpPr>
          <xdr:spPr bwMode="auto">
            <a:xfrm>
              <a:off x="402" y="274"/>
              <a:ext cx="12" cy="17"/>
            </a:xfrm>
            <a:prstGeom prst="flowChartDelay">
              <a:avLst/>
            </a:prstGeom>
            <a:grpFill/>
            <a:ln w="9525">
              <a:solidFill>
                <a:srgbClr val="000000"/>
              </a:solidFill>
              <a:miter lim="800000"/>
              <a:headEnd/>
              <a:tailEnd/>
            </a:ln>
          </xdr:spPr>
        </xdr:sp>
        <xdr:sp macro="" textlink="">
          <xdr:nvSpPr>
            <xdr:cNvPr id="558" name="Oval 474">
              <a:extLst>
                <a:ext uri="{FF2B5EF4-FFF2-40B4-BE49-F238E27FC236}">
                  <a16:creationId xmlns:a16="http://schemas.microsoft.com/office/drawing/2014/main" id="{00000000-0008-0000-0000-00002E020000}"/>
                </a:ext>
              </a:extLst>
            </xdr:cNvPr>
            <xdr:cNvSpPr>
              <a:spLocks noChangeArrowheads="1"/>
            </xdr:cNvSpPr>
          </xdr:nvSpPr>
          <xdr:spPr bwMode="auto">
            <a:xfrm>
              <a:off x="439" y="300"/>
              <a:ext cx="19" cy="17"/>
            </a:xfrm>
            <a:prstGeom prst="ellipse">
              <a:avLst/>
            </a:prstGeom>
            <a:grpFill/>
            <a:ln w="9525">
              <a:solidFill>
                <a:srgbClr val="000000"/>
              </a:solidFill>
              <a:round/>
              <a:headEnd/>
              <a:tailEnd/>
            </a:ln>
          </xdr:spPr>
        </xdr:sp>
        <xdr:sp macro="" textlink="">
          <xdr:nvSpPr>
            <xdr:cNvPr id="559" name="AutoShape 475">
              <a:extLst>
                <a:ext uri="{FF2B5EF4-FFF2-40B4-BE49-F238E27FC236}">
                  <a16:creationId xmlns:a16="http://schemas.microsoft.com/office/drawing/2014/main" id="{00000000-0008-0000-0000-00002F020000}"/>
                </a:ext>
              </a:extLst>
            </xdr:cNvPr>
            <xdr:cNvSpPr>
              <a:spLocks noChangeArrowheads="1"/>
            </xdr:cNvSpPr>
          </xdr:nvSpPr>
          <xdr:spPr bwMode="auto">
            <a:xfrm flipH="1">
              <a:off x="484" y="275"/>
              <a:ext cx="12" cy="17"/>
            </a:xfrm>
            <a:prstGeom prst="flowChartDelay">
              <a:avLst/>
            </a:prstGeom>
            <a:grpFill/>
            <a:ln w="9525">
              <a:solidFill>
                <a:srgbClr val="000000"/>
              </a:solidFill>
              <a:miter lim="800000"/>
              <a:headEnd/>
              <a:tailEnd/>
            </a:ln>
          </xdr:spPr>
        </xdr:sp>
        <xdr:sp macro="" textlink="">
          <xdr:nvSpPr>
            <xdr:cNvPr id="560" name="AutoShape 476">
              <a:extLst>
                <a:ext uri="{FF2B5EF4-FFF2-40B4-BE49-F238E27FC236}">
                  <a16:creationId xmlns:a16="http://schemas.microsoft.com/office/drawing/2014/main" id="{00000000-0008-0000-0000-000030020000}"/>
                </a:ext>
              </a:extLst>
            </xdr:cNvPr>
            <xdr:cNvSpPr>
              <a:spLocks noChangeArrowheads="1"/>
            </xdr:cNvSpPr>
          </xdr:nvSpPr>
          <xdr:spPr bwMode="auto">
            <a:xfrm>
              <a:off x="402" y="329"/>
              <a:ext cx="12" cy="17"/>
            </a:xfrm>
            <a:prstGeom prst="flowChartDelay">
              <a:avLst/>
            </a:prstGeom>
            <a:grpFill/>
            <a:ln w="9525">
              <a:solidFill>
                <a:srgbClr val="000000"/>
              </a:solidFill>
              <a:miter lim="800000"/>
              <a:headEnd/>
              <a:tailEnd/>
            </a:ln>
          </xdr:spPr>
        </xdr:sp>
        <xdr:sp macro="" textlink="">
          <xdr:nvSpPr>
            <xdr:cNvPr id="561" name="Oval 477">
              <a:extLst>
                <a:ext uri="{FF2B5EF4-FFF2-40B4-BE49-F238E27FC236}">
                  <a16:creationId xmlns:a16="http://schemas.microsoft.com/office/drawing/2014/main" id="{00000000-0008-0000-0000-000031020000}"/>
                </a:ext>
              </a:extLst>
            </xdr:cNvPr>
            <xdr:cNvSpPr>
              <a:spLocks noChangeArrowheads="1"/>
            </xdr:cNvSpPr>
          </xdr:nvSpPr>
          <xdr:spPr bwMode="auto">
            <a:xfrm>
              <a:off x="438" y="354"/>
              <a:ext cx="19" cy="17"/>
            </a:xfrm>
            <a:prstGeom prst="ellipse">
              <a:avLst/>
            </a:prstGeom>
            <a:grpFill/>
            <a:ln w="9525">
              <a:solidFill>
                <a:srgbClr val="000000"/>
              </a:solidFill>
              <a:round/>
              <a:headEnd/>
              <a:tailEnd/>
            </a:ln>
          </xdr:spPr>
        </xdr:sp>
        <xdr:sp macro="" textlink="">
          <xdr:nvSpPr>
            <xdr:cNvPr id="562" name="AutoShape 478">
              <a:extLst>
                <a:ext uri="{FF2B5EF4-FFF2-40B4-BE49-F238E27FC236}">
                  <a16:creationId xmlns:a16="http://schemas.microsoft.com/office/drawing/2014/main" id="{00000000-0008-0000-0000-000032020000}"/>
                </a:ext>
              </a:extLst>
            </xdr:cNvPr>
            <xdr:cNvSpPr>
              <a:spLocks noChangeArrowheads="1"/>
            </xdr:cNvSpPr>
          </xdr:nvSpPr>
          <xdr:spPr bwMode="auto">
            <a:xfrm flipH="1">
              <a:off x="484" y="329"/>
              <a:ext cx="12" cy="17"/>
            </a:xfrm>
            <a:prstGeom prst="flowChartDelay">
              <a:avLst/>
            </a:prstGeom>
            <a:grpFill/>
            <a:ln w="9525">
              <a:solidFill>
                <a:srgbClr val="000000"/>
              </a:solidFill>
              <a:miter lim="800000"/>
              <a:headEnd/>
              <a:tailEnd/>
            </a:ln>
          </xdr:spPr>
        </xdr:sp>
        <xdr:sp macro="" textlink="">
          <xdr:nvSpPr>
            <xdr:cNvPr id="563" name="AutoShape 479">
              <a:extLst>
                <a:ext uri="{FF2B5EF4-FFF2-40B4-BE49-F238E27FC236}">
                  <a16:creationId xmlns:a16="http://schemas.microsoft.com/office/drawing/2014/main" id="{00000000-0008-0000-0000-000033020000}"/>
                </a:ext>
              </a:extLst>
            </xdr:cNvPr>
            <xdr:cNvSpPr>
              <a:spLocks noChangeArrowheads="1"/>
            </xdr:cNvSpPr>
          </xdr:nvSpPr>
          <xdr:spPr bwMode="auto">
            <a:xfrm>
              <a:off x="402" y="380"/>
              <a:ext cx="12" cy="17"/>
            </a:xfrm>
            <a:prstGeom prst="flowChartDelay">
              <a:avLst/>
            </a:prstGeom>
            <a:grpFill/>
            <a:ln w="9525">
              <a:solidFill>
                <a:srgbClr val="000000"/>
              </a:solidFill>
              <a:miter lim="800000"/>
              <a:headEnd/>
              <a:tailEnd/>
            </a:ln>
          </xdr:spPr>
        </xdr:sp>
        <xdr:sp macro="" textlink="">
          <xdr:nvSpPr>
            <xdr:cNvPr id="564" name="AutoShape 480">
              <a:extLst>
                <a:ext uri="{FF2B5EF4-FFF2-40B4-BE49-F238E27FC236}">
                  <a16:creationId xmlns:a16="http://schemas.microsoft.com/office/drawing/2014/main" id="{00000000-0008-0000-0000-000034020000}"/>
                </a:ext>
              </a:extLst>
            </xdr:cNvPr>
            <xdr:cNvSpPr>
              <a:spLocks noChangeArrowheads="1"/>
            </xdr:cNvSpPr>
          </xdr:nvSpPr>
          <xdr:spPr bwMode="auto">
            <a:xfrm flipH="1">
              <a:off x="484" y="381"/>
              <a:ext cx="12" cy="17"/>
            </a:xfrm>
            <a:prstGeom prst="flowChartDelay">
              <a:avLst/>
            </a:prstGeom>
            <a:grpFill/>
            <a:ln w="9525">
              <a:solidFill>
                <a:srgbClr val="000000"/>
              </a:solidFill>
              <a:miter lim="800000"/>
              <a:headEnd/>
              <a:tailEnd/>
            </a:ln>
          </xdr:spPr>
        </xdr:sp>
      </xdr:grpSp>
    </xdr:grpSp>
    <xdr:clientData/>
  </xdr:twoCellAnchor>
  <xdr:twoCellAnchor>
    <xdr:from>
      <xdr:col>1</xdr:col>
      <xdr:colOff>515752</xdr:colOff>
      <xdr:row>32</xdr:row>
      <xdr:rowOff>254000</xdr:rowOff>
    </xdr:from>
    <xdr:to>
      <xdr:col>1</xdr:col>
      <xdr:colOff>843643</xdr:colOff>
      <xdr:row>35</xdr:row>
      <xdr:rowOff>36286</xdr:rowOff>
    </xdr:to>
    <xdr:grpSp>
      <xdr:nvGrpSpPr>
        <xdr:cNvPr id="572" name="Group 64">
          <a:extLst>
            <a:ext uri="{FF2B5EF4-FFF2-40B4-BE49-F238E27FC236}">
              <a16:creationId xmlns:a16="http://schemas.microsoft.com/office/drawing/2014/main" id="{00000000-0008-0000-0000-00003C020000}"/>
            </a:ext>
          </a:extLst>
        </xdr:cNvPr>
        <xdr:cNvGrpSpPr>
          <a:grpSpLocks/>
        </xdr:cNvGrpSpPr>
      </xdr:nvGrpSpPr>
      <xdr:grpSpPr bwMode="auto">
        <a:xfrm>
          <a:off x="1114466" y="12271829"/>
          <a:ext cx="327891" cy="500743"/>
          <a:chOff x="66" y="971"/>
          <a:chExt cx="26" cy="57"/>
        </a:xfrm>
      </xdr:grpSpPr>
      <xdr:sp macro="" textlink="">
        <xdr:nvSpPr>
          <xdr:cNvPr id="573" name="Rectangle 65">
            <a:extLst>
              <a:ext uri="{FF2B5EF4-FFF2-40B4-BE49-F238E27FC236}">
                <a16:creationId xmlns:a16="http://schemas.microsoft.com/office/drawing/2014/main" id="{00000000-0008-0000-0000-00003D020000}"/>
              </a:ext>
            </a:extLst>
          </xdr:cNvPr>
          <xdr:cNvSpPr>
            <a:spLocks noChangeArrowheads="1"/>
          </xdr:cNvSpPr>
        </xdr:nvSpPr>
        <xdr:spPr bwMode="auto">
          <a:xfrm>
            <a:off x="66" y="978"/>
            <a:ext cx="26" cy="43"/>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574" name="Freeform 66">
            <a:extLst>
              <a:ext uri="{FF2B5EF4-FFF2-40B4-BE49-F238E27FC236}">
                <a16:creationId xmlns:a16="http://schemas.microsoft.com/office/drawing/2014/main" id="{00000000-0008-0000-0000-00003E020000}"/>
              </a:ext>
            </a:extLst>
          </xdr:cNvPr>
          <xdr:cNvSpPr>
            <a:spLocks/>
          </xdr:cNvSpPr>
        </xdr:nvSpPr>
        <xdr:spPr bwMode="auto">
          <a:xfrm>
            <a:off x="66" y="971"/>
            <a:ext cx="26" cy="7"/>
          </a:xfrm>
          <a:custGeom>
            <a:avLst/>
            <a:gdLst>
              <a:gd name="T0" fmla="*/ 0 w 51"/>
              <a:gd name="T1" fmla="*/ 2147483647 h 3"/>
              <a:gd name="T2" fmla="*/ 1 w 51"/>
              <a:gd name="T3" fmla="*/ 0 h 3"/>
              <a:gd name="T4" fmla="*/ 1 w 51"/>
              <a:gd name="T5" fmla="*/ 0 h 3"/>
              <a:gd name="T6" fmla="*/ 1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solidFill>
            <a:srgbClr val="808080"/>
          </a:solidFill>
          <a:ln w="9525">
            <a:solidFill>
              <a:srgbClr val="000000"/>
            </a:solidFill>
            <a:round/>
            <a:headEnd/>
            <a:tailEnd/>
          </a:ln>
        </xdr:spPr>
      </xdr:sp>
      <xdr:sp macro="" textlink="">
        <xdr:nvSpPr>
          <xdr:cNvPr id="575" name="Freeform 67">
            <a:extLst>
              <a:ext uri="{FF2B5EF4-FFF2-40B4-BE49-F238E27FC236}">
                <a16:creationId xmlns:a16="http://schemas.microsoft.com/office/drawing/2014/main" id="{00000000-0008-0000-0000-00003F020000}"/>
              </a:ext>
            </a:extLst>
          </xdr:cNvPr>
          <xdr:cNvSpPr>
            <a:spLocks/>
          </xdr:cNvSpPr>
        </xdr:nvSpPr>
        <xdr:spPr bwMode="auto">
          <a:xfrm rot="10800000">
            <a:off x="66" y="1021"/>
            <a:ext cx="26" cy="7"/>
          </a:xfrm>
          <a:custGeom>
            <a:avLst/>
            <a:gdLst>
              <a:gd name="T0" fmla="*/ 0 w 51"/>
              <a:gd name="T1" fmla="*/ 2147483647 h 3"/>
              <a:gd name="T2" fmla="*/ 1 w 51"/>
              <a:gd name="T3" fmla="*/ 0 h 3"/>
              <a:gd name="T4" fmla="*/ 1 w 51"/>
              <a:gd name="T5" fmla="*/ 0 h 3"/>
              <a:gd name="T6" fmla="*/ 1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solidFill>
            <a:srgbClr val="808080"/>
          </a:solidFill>
          <a:ln w="9525">
            <a:solidFill>
              <a:srgbClr val="000000"/>
            </a:solidFill>
            <a:round/>
            <a:headEnd/>
            <a:tailEnd/>
          </a:ln>
        </xdr:spPr>
      </xdr:sp>
    </xdr:grpSp>
    <xdr:clientData/>
  </xdr:twoCellAnchor>
  <mc:AlternateContent xmlns:mc="http://schemas.openxmlformats.org/markup-compatibility/2006">
    <mc:Choice xmlns:a14="http://schemas.microsoft.com/office/drawing/2010/main" Requires="a14">
      <xdr:twoCellAnchor>
        <xdr:from>
          <xdr:col>1</xdr:col>
          <xdr:colOff>647700</xdr:colOff>
          <xdr:row>33</xdr:row>
          <xdr:rowOff>76200</xdr:rowOff>
        </xdr:from>
        <xdr:to>
          <xdr:col>1</xdr:col>
          <xdr:colOff>739140</xdr:colOff>
          <xdr:row>34</xdr:row>
          <xdr:rowOff>68580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xdr:col>
      <xdr:colOff>519545</xdr:colOff>
      <xdr:row>37</xdr:row>
      <xdr:rowOff>313378</xdr:rowOff>
    </xdr:from>
    <xdr:to>
      <xdr:col>1</xdr:col>
      <xdr:colOff>862445</xdr:colOff>
      <xdr:row>38</xdr:row>
      <xdr:rowOff>313376</xdr:rowOff>
    </xdr:to>
    <xdr:pic>
      <xdr:nvPicPr>
        <xdr:cNvPr id="625" name="Picture 19">
          <a:extLst>
            <a:ext uri="{FF2B5EF4-FFF2-40B4-BE49-F238E27FC236}">
              <a16:creationId xmlns:a16="http://schemas.microsoft.com/office/drawing/2014/main" id="{00000000-0008-0000-0000-00007102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38051" y="13508183"/>
          <a:ext cx="342900" cy="32162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xdr:col>
      <xdr:colOff>528537</xdr:colOff>
      <xdr:row>39</xdr:row>
      <xdr:rowOff>280390</xdr:rowOff>
    </xdr:from>
    <xdr:to>
      <xdr:col>1</xdr:col>
      <xdr:colOff>832923</xdr:colOff>
      <xdr:row>40</xdr:row>
      <xdr:rowOff>0</xdr:rowOff>
    </xdr:to>
    <xdr:grpSp>
      <xdr:nvGrpSpPr>
        <xdr:cNvPr id="488" name="Group 107">
          <a:extLst>
            <a:ext uri="{FF2B5EF4-FFF2-40B4-BE49-F238E27FC236}">
              <a16:creationId xmlns:a16="http://schemas.microsoft.com/office/drawing/2014/main" id="{00000000-0008-0000-0000-0000E8010000}"/>
            </a:ext>
          </a:extLst>
        </xdr:cNvPr>
        <xdr:cNvGrpSpPr>
          <a:grpSpLocks/>
        </xdr:cNvGrpSpPr>
      </xdr:nvGrpSpPr>
      <xdr:grpSpPr bwMode="auto">
        <a:xfrm>
          <a:off x="1127251" y="14279419"/>
          <a:ext cx="304386" cy="2638"/>
          <a:chOff x="164" y="352"/>
          <a:chExt cx="17" cy="20"/>
        </a:xfrm>
      </xdr:grpSpPr>
      <xdr:sp macro="" textlink="">
        <xdr:nvSpPr>
          <xdr:cNvPr id="489" name="Rectangle 108">
            <a:extLst>
              <a:ext uri="{FF2B5EF4-FFF2-40B4-BE49-F238E27FC236}">
                <a16:creationId xmlns:a16="http://schemas.microsoft.com/office/drawing/2014/main" id="{00000000-0008-0000-0000-0000E9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490" name="Line 109">
            <a:extLst>
              <a:ext uri="{FF2B5EF4-FFF2-40B4-BE49-F238E27FC236}">
                <a16:creationId xmlns:a16="http://schemas.microsoft.com/office/drawing/2014/main" id="{00000000-0008-0000-0000-0000EA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491" name="Line 110">
            <a:extLst>
              <a:ext uri="{FF2B5EF4-FFF2-40B4-BE49-F238E27FC236}">
                <a16:creationId xmlns:a16="http://schemas.microsoft.com/office/drawing/2014/main" id="{00000000-0008-0000-0000-0000EB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536783</xdr:colOff>
      <xdr:row>39</xdr:row>
      <xdr:rowOff>0</xdr:rowOff>
    </xdr:from>
    <xdr:to>
      <xdr:col>1</xdr:col>
      <xdr:colOff>832923</xdr:colOff>
      <xdr:row>39</xdr:row>
      <xdr:rowOff>271273</xdr:rowOff>
    </xdr:to>
    <xdr:grpSp>
      <xdr:nvGrpSpPr>
        <xdr:cNvPr id="492" name="Group 107">
          <a:extLst>
            <a:ext uri="{FF2B5EF4-FFF2-40B4-BE49-F238E27FC236}">
              <a16:creationId xmlns:a16="http://schemas.microsoft.com/office/drawing/2014/main" id="{00000000-0008-0000-0000-0000EC010000}"/>
            </a:ext>
          </a:extLst>
        </xdr:cNvPr>
        <xdr:cNvGrpSpPr>
          <a:grpSpLocks/>
        </xdr:cNvGrpSpPr>
      </xdr:nvGrpSpPr>
      <xdr:grpSpPr bwMode="auto">
        <a:xfrm>
          <a:off x="1135497" y="13999029"/>
          <a:ext cx="296140" cy="271273"/>
          <a:chOff x="164" y="352"/>
          <a:chExt cx="17" cy="20"/>
        </a:xfrm>
      </xdr:grpSpPr>
      <xdr:sp macro="" textlink="">
        <xdr:nvSpPr>
          <xdr:cNvPr id="493" name="Rectangle 108">
            <a:extLst>
              <a:ext uri="{FF2B5EF4-FFF2-40B4-BE49-F238E27FC236}">
                <a16:creationId xmlns:a16="http://schemas.microsoft.com/office/drawing/2014/main" id="{00000000-0008-0000-0000-0000ED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494" name="Line 109">
            <a:extLst>
              <a:ext uri="{FF2B5EF4-FFF2-40B4-BE49-F238E27FC236}">
                <a16:creationId xmlns:a16="http://schemas.microsoft.com/office/drawing/2014/main" id="{00000000-0008-0000-0000-0000EE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495" name="Line 110">
            <a:extLst>
              <a:ext uri="{FF2B5EF4-FFF2-40B4-BE49-F238E27FC236}">
                <a16:creationId xmlns:a16="http://schemas.microsoft.com/office/drawing/2014/main" id="{00000000-0008-0000-0000-0000EF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226217</xdr:colOff>
      <xdr:row>80</xdr:row>
      <xdr:rowOff>0</xdr:rowOff>
    </xdr:from>
    <xdr:to>
      <xdr:col>1</xdr:col>
      <xdr:colOff>559592</xdr:colOff>
      <xdr:row>80</xdr:row>
      <xdr:rowOff>0</xdr:rowOff>
    </xdr:to>
    <xdr:grpSp>
      <xdr:nvGrpSpPr>
        <xdr:cNvPr id="96" name="Group 485">
          <a:extLst>
            <a:ext uri="{FF2B5EF4-FFF2-40B4-BE49-F238E27FC236}">
              <a16:creationId xmlns:a16="http://schemas.microsoft.com/office/drawing/2014/main" id="{00000000-0008-0000-0000-000060000000}"/>
            </a:ext>
          </a:extLst>
        </xdr:cNvPr>
        <xdr:cNvGrpSpPr>
          <a:grpSpLocks/>
        </xdr:cNvGrpSpPr>
      </xdr:nvGrpSpPr>
      <xdr:grpSpPr bwMode="auto">
        <a:xfrm rot="80297" flipH="1">
          <a:off x="824931" y="28825371"/>
          <a:ext cx="333375" cy="0"/>
          <a:chOff x="98" y="425"/>
          <a:chExt cx="93" cy="103"/>
        </a:xfrm>
      </xdr:grpSpPr>
      <xdr:sp macro="" textlink="">
        <xdr:nvSpPr>
          <xdr:cNvPr id="114" name="Freeform 486">
            <a:extLst>
              <a:ext uri="{FF2B5EF4-FFF2-40B4-BE49-F238E27FC236}">
                <a16:creationId xmlns:a16="http://schemas.microsoft.com/office/drawing/2014/main" id="{00000000-0008-0000-0000-00007200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24" name="Freeform 487">
            <a:extLst>
              <a:ext uri="{FF2B5EF4-FFF2-40B4-BE49-F238E27FC236}">
                <a16:creationId xmlns:a16="http://schemas.microsoft.com/office/drawing/2014/main" id="{00000000-0008-0000-0000-000000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26" name="Freeform 488">
            <a:extLst>
              <a:ext uri="{FF2B5EF4-FFF2-40B4-BE49-F238E27FC236}">
                <a16:creationId xmlns:a16="http://schemas.microsoft.com/office/drawing/2014/main" id="{00000000-0008-0000-0000-000002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567840</xdr:colOff>
      <xdr:row>78</xdr:row>
      <xdr:rowOff>0</xdr:rowOff>
    </xdr:from>
    <xdr:to>
      <xdr:col>1</xdr:col>
      <xdr:colOff>843801</xdr:colOff>
      <xdr:row>79</xdr:row>
      <xdr:rowOff>0</xdr:rowOff>
    </xdr:to>
    <xdr:grpSp>
      <xdr:nvGrpSpPr>
        <xdr:cNvPr id="77" name="Group 466">
          <a:extLst>
            <a:ext uri="{FF2B5EF4-FFF2-40B4-BE49-F238E27FC236}">
              <a16:creationId xmlns:a16="http://schemas.microsoft.com/office/drawing/2014/main" id="{00000000-0008-0000-0000-00004D000000}"/>
            </a:ext>
          </a:extLst>
        </xdr:cNvPr>
        <xdr:cNvGrpSpPr>
          <a:grpSpLocks/>
        </xdr:cNvGrpSpPr>
      </xdr:nvGrpSpPr>
      <xdr:grpSpPr bwMode="auto">
        <a:xfrm>
          <a:off x="1166554" y="28085143"/>
          <a:ext cx="275961" cy="370114"/>
          <a:chOff x="401" y="230"/>
          <a:chExt cx="95" cy="183"/>
        </a:xfrm>
      </xdr:grpSpPr>
      <xdr:grpSp>
        <xdr:nvGrpSpPr>
          <xdr:cNvPr id="78" name="Group 467">
            <a:extLst>
              <a:ext uri="{FF2B5EF4-FFF2-40B4-BE49-F238E27FC236}">
                <a16:creationId xmlns:a16="http://schemas.microsoft.com/office/drawing/2014/main" id="{00000000-0008-0000-0000-00004E000000}"/>
              </a:ext>
            </a:extLst>
          </xdr:cNvPr>
          <xdr:cNvGrpSpPr>
            <a:grpSpLocks/>
          </xdr:cNvGrpSpPr>
        </xdr:nvGrpSpPr>
        <xdr:grpSpPr bwMode="auto">
          <a:xfrm>
            <a:off x="401" y="230"/>
            <a:ext cx="95" cy="183"/>
            <a:chOff x="390" y="230"/>
            <a:chExt cx="182" cy="165"/>
          </a:xfrm>
        </xdr:grpSpPr>
        <xdr:sp macro="" textlink="">
          <xdr:nvSpPr>
            <xdr:cNvPr id="89" name="Freeform 468">
              <a:extLst>
                <a:ext uri="{FF2B5EF4-FFF2-40B4-BE49-F238E27FC236}">
                  <a16:creationId xmlns:a16="http://schemas.microsoft.com/office/drawing/2014/main" id="{00000000-0008-0000-0000-00005900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90" name="Rectangle 469">
              <a:extLst>
                <a:ext uri="{FF2B5EF4-FFF2-40B4-BE49-F238E27FC236}">
                  <a16:creationId xmlns:a16="http://schemas.microsoft.com/office/drawing/2014/main" id="{00000000-0008-0000-0000-00005A000000}"/>
                </a:ext>
              </a:extLst>
            </xdr:cNvPr>
            <xdr:cNvSpPr>
              <a:spLocks noChangeArrowheads="1"/>
            </xdr:cNvSpPr>
          </xdr:nvSpPr>
          <xdr:spPr bwMode="auto">
            <a:xfrm>
              <a:off x="391" y="237"/>
              <a:ext cx="180" cy="152"/>
            </a:xfrm>
            <a:prstGeom prst="rect">
              <a:avLst/>
            </a:prstGeom>
            <a:gradFill rotWithShape="0">
              <a:gsLst>
                <a:gs pos="0">
                  <a:srgbClr val="008B00"/>
                </a:gs>
                <a:gs pos="50000">
                  <a:srgbClr val="00FF00"/>
                </a:gs>
                <a:gs pos="100000">
                  <a:srgbClr val="008B00"/>
                </a:gs>
              </a:gsLst>
              <a:lin ang="0" scaled="1"/>
            </a:grad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91" name="Freeform 470">
              <a:extLst>
                <a:ext uri="{FF2B5EF4-FFF2-40B4-BE49-F238E27FC236}">
                  <a16:creationId xmlns:a16="http://schemas.microsoft.com/office/drawing/2014/main" id="{00000000-0008-0000-0000-00005B00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79" name="Group 471">
            <a:extLst>
              <a:ext uri="{FF2B5EF4-FFF2-40B4-BE49-F238E27FC236}">
                <a16:creationId xmlns:a16="http://schemas.microsoft.com/office/drawing/2014/main" id="{00000000-0008-0000-0000-00004F000000}"/>
              </a:ext>
            </a:extLst>
          </xdr:cNvPr>
          <xdr:cNvGrpSpPr>
            <a:grpSpLocks/>
          </xdr:cNvGrpSpPr>
        </xdr:nvGrpSpPr>
        <xdr:grpSpPr bwMode="auto">
          <a:xfrm>
            <a:off x="402" y="246"/>
            <a:ext cx="94" cy="152"/>
            <a:chOff x="402" y="246"/>
            <a:chExt cx="94" cy="152"/>
          </a:xfrm>
        </xdr:grpSpPr>
        <xdr:sp macro="" textlink="">
          <xdr:nvSpPr>
            <xdr:cNvPr id="80" name="Oval 472">
              <a:extLst>
                <a:ext uri="{FF2B5EF4-FFF2-40B4-BE49-F238E27FC236}">
                  <a16:creationId xmlns:a16="http://schemas.microsoft.com/office/drawing/2014/main" id="{00000000-0008-0000-0000-000050000000}"/>
                </a:ext>
              </a:extLst>
            </xdr:cNvPr>
            <xdr:cNvSpPr>
              <a:spLocks noChangeArrowheads="1"/>
            </xdr:cNvSpPr>
          </xdr:nvSpPr>
          <xdr:spPr bwMode="auto">
            <a:xfrm>
              <a:off x="439" y="246"/>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81" name="AutoShape 473">
              <a:extLst>
                <a:ext uri="{FF2B5EF4-FFF2-40B4-BE49-F238E27FC236}">
                  <a16:creationId xmlns:a16="http://schemas.microsoft.com/office/drawing/2014/main" id="{00000000-0008-0000-0000-000051000000}"/>
                </a:ext>
              </a:extLst>
            </xdr:cNvPr>
            <xdr:cNvSpPr>
              <a:spLocks noChangeArrowheads="1"/>
            </xdr:cNvSpPr>
          </xdr:nvSpPr>
          <xdr:spPr bwMode="auto">
            <a:xfrm>
              <a:off x="402" y="274"/>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82" name="Oval 474">
              <a:extLst>
                <a:ext uri="{FF2B5EF4-FFF2-40B4-BE49-F238E27FC236}">
                  <a16:creationId xmlns:a16="http://schemas.microsoft.com/office/drawing/2014/main" id="{00000000-0008-0000-0000-000052000000}"/>
                </a:ext>
              </a:extLst>
            </xdr:cNvPr>
            <xdr:cNvSpPr>
              <a:spLocks noChangeArrowheads="1"/>
            </xdr:cNvSpPr>
          </xdr:nvSpPr>
          <xdr:spPr bwMode="auto">
            <a:xfrm>
              <a:off x="439" y="300"/>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83" name="AutoShape 475">
              <a:extLst>
                <a:ext uri="{FF2B5EF4-FFF2-40B4-BE49-F238E27FC236}">
                  <a16:creationId xmlns:a16="http://schemas.microsoft.com/office/drawing/2014/main" id="{00000000-0008-0000-0000-000053000000}"/>
                </a:ext>
              </a:extLst>
            </xdr:cNvPr>
            <xdr:cNvSpPr>
              <a:spLocks noChangeArrowheads="1"/>
            </xdr:cNvSpPr>
          </xdr:nvSpPr>
          <xdr:spPr bwMode="auto">
            <a:xfrm flipH="1">
              <a:off x="484" y="275"/>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84" name="AutoShape 476">
              <a:extLst>
                <a:ext uri="{FF2B5EF4-FFF2-40B4-BE49-F238E27FC236}">
                  <a16:creationId xmlns:a16="http://schemas.microsoft.com/office/drawing/2014/main" id="{00000000-0008-0000-0000-000054000000}"/>
                </a:ext>
              </a:extLst>
            </xdr:cNvPr>
            <xdr:cNvSpPr>
              <a:spLocks noChangeArrowheads="1"/>
            </xdr:cNvSpPr>
          </xdr:nvSpPr>
          <xdr:spPr bwMode="auto">
            <a:xfrm>
              <a:off x="402"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85" name="Oval 477">
              <a:extLst>
                <a:ext uri="{FF2B5EF4-FFF2-40B4-BE49-F238E27FC236}">
                  <a16:creationId xmlns:a16="http://schemas.microsoft.com/office/drawing/2014/main" id="{00000000-0008-0000-0000-000055000000}"/>
                </a:ext>
              </a:extLst>
            </xdr:cNvPr>
            <xdr:cNvSpPr>
              <a:spLocks noChangeArrowheads="1"/>
            </xdr:cNvSpPr>
          </xdr:nvSpPr>
          <xdr:spPr bwMode="auto">
            <a:xfrm>
              <a:off x="438" y="354"/>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86" name="AutoShape 478">
              <a:extLst>
                <a:ext uri="{FF2B5EF4-FFF2-40B4-BE49-F238E27FC236}">
                  <a16:creationId xmlns:a16="http://schemas.microsoft.com/office/drawing/2014/main" id="{00000000-0008-0000-0000-000056000000}"/>
                </a:ext>
              </a:extLst>
            </xdr:cNvPr>
            <xdr:cNvSpPr>
              <a:spLocks noChangeArrowheads="1"/>
            </xdr:cNvSpPr>
          </xdr:nvSpPr>
          <xdr:spPr bwMode="auto">
            <a:xfrm flipH="1">
              <a:off x="484"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87" name="AutoShape 479">
              <a:extLst>
                <a:ext uri="{FF2B5EF4-FFF2-40B4-BE49-F238E27FC236}">
                  <a16:creationId xmlns:a16="http://schemas.microsoft.com/office/drawing/2014/main" id="{00000000-0008-0000-0000-000057000000}"/>
                </a:ext>
              </a:extLst>
            </xdr:cNvPr>
            <xdr:cNvSpPr>
              <a:spLocks noChangeArrowheads="1"/>
            </xdr:cNvSpPr>
          </xdr:nvSpPr>
          <xdr:spPr bwMode="auto">
            <a:xfrm>
              <a:off x="402" y="380"/>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88" name="AutoShape 480">
              <a:extLst>
                <a:ext uri="{FF2B5EF4-FFF2-40B4-BE49-F238E27FC236}">
                  <a16:creationId xmlns:a16="http://schemas.microsoft.com/office/drawing/2014/main" id="{00000000-0008-0000-0000-000058000000}"/>
                </a:ext>
              </a:extLst>
            </xdr:cNvPr>
            <xdr:cNvSpPr>
              <a:spLocks noChangeArrowheads="1"/>
            </xdr:cNvSpPr>
          </xdr:nvSpPr>
          <xdr:spPr bwMode="auto">
            <a:xfrm flipH="1">
              <a:off x="484" y="381"/>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grpSp>
    </xdr:grpSp>
    <xdr:clientData/>
  </xdr:twoCellAnchor>
  <xdr:twoCellAnchor>
    <xdr:from>
      <xdr:col>1</xdr:col>
      <xdr:colOff>848075</xdr:colOff>
      <xdr:row>78</xdr:row>
      <xdr:rowOff>23812</xdr:rowOff>
    </xdr:from>
    <xdr:to>
      <xdr:col>1</xdr:col>
      <xdr:colOff>1190975</xdr:colOff>
      <xdr:row>78</xdr:row>
      <xdr:rowOff>350065</xdr:rowOff>
    </xdr:to>
    <xdr:grpSp>
      <xdr:nvGrpSpPr>
        <xdr:cNvPr id="92" name="Group 481">
          <a:extLst>
            <a:ext uri="{FF2B5EF4-FFF2-40B4-BE49-F238E27FC236}">
              <a16:creationId xmlns:a16="http://schemas.microsoft.com/office/drawing/2014/main" id="{00000000-0008-0000-0000-00005C000000}"/>
            </a:ext>
          </a:extLst>
        </xdr:cNvPr>
        <xdr:cNvGrpSpPr>
          <a:grpSpLocks/>
        </xdr:cNvGrpSpPr>
      </xdr:nvGrpSpPr>
      <xdr:grpSpPr bwMode="auto">
        <a:xfrm rot="10840149" flipH="1">
          <a:off x="1446789" y="28108955"/>
          <a:ext cx="342900" cy="326253"/>
          <a:chOff x="98" y="425"/>
          <a:chExt cx="93" cy="103"/>
        </a:xfrm>
      </xdr:grpSpPr>
      <xdr:sp macro="" textlink="">
        <xdr:nvSpPr>
          <xdr:cNvPr id="93" name="Freeform 482">
            <a:extLst>
              <a:ext uri="{FF2B5EF4-FFF2-40B4-BE49-F238E27FC236}">
                <a16:creationId xmlns:a16="http://schemas.microsoft.com/office/drawing/2014/main" id="{00000000-0008-0000-0000-00005D00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94" name="Freeform 483">
            <a:extLst>
              <a:ext uri="{FF2B5EF4-FFF2-40B4-BE49-F238E27FC236}">
                <a16:creationId xmlns:a16="http://schemas.microsoft.com/office/drawing/2014/main" id="{00000000-0008-0000-0000-00005E00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95" name="Freeform 484">
            <a:extLst>
              <a:ext uri="{FF2B5EF4-FFF2-40B4-BE49-F238E27FC236}">
                <a16:creationId xmlns:a16="http://schemas.microsoft.com/office/drawing/2014/main" id="{00000000-0008-0000-0000-00005F00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78</xdr:row>
      <xdr:rowOff>0</xdr:rowOff>
    </xdr:from>
    <xdr:to>
      <xdr:col>1</xdr:col>
      <xdr:colOff>559592</xdr:colOff>
      <xdr:row>78</xdr:row>
      <xdr:rowOff>310596</xdr:rowOff>
    </xdr:to>
    <xdr:grpSp>
      <xdr:nvGrpSpPr>
        <xdr:cNvPr id="1027" name="Group 485">
          <a:extLst>
            <a:ext uri="{FF2B5EF4-FFF2-40B4-BE49-F238E27FC236}">
              <a16:creationId xmlns:a16="http://schemas.microsoft.com/office/drawing/2014/main" id="{00000000-0008-0000-0000-000003040000}"/>
            </a:ext>
          </a:extLst>
        </xdr:cNvPr>
        <xdr:cNvGrpSpPr>
          <a:grpSpLocks/>
        </xdr:cNvGrpSpPr>
      </xdr:nvGrpSpPr>
      <xdr:grpSpPr bwMode="auto">
        <a:xfrm rot="80297" flipH="1">
          <a:off x="824931" y="28085143"/>
          <a:ext cx="333375" cy="310596"/>
          <a:chOff x="98" y="425"/>
          <a:chExt cx="93" cy="103"/>
        </a:xfrm>
      </xdr:grpSpPr>
      <xdr:sp macro="" textlink="">
        <xdr:nvSpPr>
          <xdr:cNvPr id="1029" name="Freeform 486">
            <a:extLst>
              <a:ext uri="{FF2B5EF4-FFF2-40B4-BE49-F238E27FC236}">
                <a16:creationId xmlns:a16="http://schemas.microsoft.com/office/drawing/2014/main" id="{00000000-0008-0000-0000-000005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30" name="Freeform 487">
            <a:extLst>
              <a:ext uri="{FF2B5EF4-FFF2-40B4-BE49-F238E27FC236}">
                <a16:creationId xmlns:a16="http://schemas.microsoft.com/office/drawing/2014/main" id="{00000000-0008-0000-0000-000006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31" name="Freeform 488">
            <a:extLst>
              <a:ext uri="{FF2B5EF4-FFF2-40B4-BE49-F238E27FC236}">
                <a16:creationId xmlns:a16="http://schemas.microsoft.com/office/drawing/2014/main" id="{00000000-0008-0000-0000-000007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78</xdr:row>
      <xdr:rowOff>0</xdr:rowOff>
    </xdr:from>
    <xdr:to>
      <xdr:col>1</xdr:col>
      <xdr:colOff>559592</xdr:colOff>
      <xdr:row>78</xdr:row>
      <xdr:rowOff>0</xdr:rowOff>
    </xdr:to>
    <xdr:grpSp>
      <xdr:nvGrpSpPr>
        <xdr:cNvPr id="1032" name="Group 485">
          <a:extLst>
            <a:ext uri="{FF2B5EF4-FFF2-40B4-BE49-F238E27FC236}">
              <a16:creationId xmlns:a16="http://schemas.microsoft.com/office/drawing/2014/main" id="{00000000-0008-0000-0000-000008040000}"/>
            </a:ext>
          </a:extLst>
        </xdr:cNvPr>
        <xdr:cNvGrpSpPr>
          <a:grpSpLocks/>
        </xdr:cNvGrpSpPr>
      </xdr:nvGrpSpPr>
      <xdr:grpSpPr bwMode="auto">
        <a:xfrm rot="80297" flipH="1">
          <a:off x="824931" y="28085143"/>
          <a:ext cx="333375" cy="0"/>
          <a:chOff x="98" y="425"/>
          <a:chExt cx="93" cy="103"/>
        </a:xfrm>
      </xdr:grpSpPr>
      <xdr:sp macro="" textlink="">
        <xdr:nvSpPr>
          <xdr:cNvPr id="1033" name="Freeform 486">
            <a:extLst>
              <a:ext uri="{FF2B5EF4-FFF2-40B4-BE49-F238E27FC236}">
                <a16:creationId xmlns:a16="http://schemas.microsoft.com/office/drawing/2014/main" id="{00000000-0008-0000-0000-000009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34" name="Freeform 487">
            <a:extLst>
              <a:ext uri="{FF2B5EF4-FFF2-40B4-BE49-F238E27FC236}">
                <a16:creationId xmlns:a16="http://schemas.microsoft.com/office/drawing/2014/main" id="{00000000-0008-0000-0000-00000A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35" name="Freeform 488">
            <a:extLst>
              <a:ext uri="{FF2B5EF4-FFF2-40B4-BE49-F238E27FC236}">
                <a16:creationId xmlns:a16="http://schemas.microsoft.com/office/drawing/2014/main" id="{00000000-0008-0000-0000-00000B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78</xdr:row>
      <xdr:rowOff>0</xdr:rowOff>
    </xdr:from>
    <xdr:to>
      <xdr:col>1</xdr:col>
      <xdr:colOff>559592</xdr:colOff>
      <xdr:row>78</xdr:row>
      <xdr:rowOff>310596</xdr:rowOff>
    </xdr:to>
    <xdr:grpSp>
      <xdr:nvGrpSpPr>
        <xdr:cNvPr id="1036" name="Group 485">
          <a:extLst>
            <a:ext uri="{FF2B5EF4-FFF2-40B4-BE49-F238E27FC236}">
              <a16:creationId xmlns:a16="http://schemas.microsoft.com/office/drawing/2014/main" id="{00000000-0008-0000-0000-00000C040000}"/>
            </a:ext>
          </a:extLst>
        </xdr:cNvPr>
        <xdr:cNvGrpSpPr>
          <a:grpSpLocks/>
        </xdr:cNvGrpSpPr>
      </xdr:nvGrpSpPr>
      <xdr:grpSpPr bwMode="auto">
        <a:xfrm rot="80297" flipH="1">
          <a:off x="824931" y="28085143"/>
          <a:ext cx="333375" cy="310596"/>
          <a:chOff x="98" y="425"/>
          <a:chExt cx="93" cy="103"/>
        </a:xfrm>
      </xdr:grpSpPr>
      <xdr:sp macro="" textlink="">
        <xdr:nvSpPr>
          <xdr:cNvPr id="1037" name="Freeform 486">
            <a:extLst>
              <a:ext uri="{FF2B5EF4-FFF2-40B4-BE49-F238E27FC236}">
                <a16:creationId xmlns:a16="http://schemas.microsoft.com/office/drawing/2014/main" id="{00000000-0008-0000-0000-00000D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38" name="Freeform 487">
            <a:extLst>
              <a:ext uri="{FF2B5EF4-FFF2-40B4-BE49-F238E27FC236}">
                <a16:creationId xmlns:a16="http://schemas.microsoft.com/office/drawing/2014/main" id="{00000000-0008-0000-0000-00000E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39" name="Freeform 488">
            <a:extLst>
              <a:ext uri="{FF2B5EF4-FFF2-40B4-BE49-F238E27FC236}">
                <a16:creationId xmlns:a16="http://schemas.microsoft.com/office/drawing/2014/main" id="{00000000-0008-0000-0000-00000F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563563</xdr:colOff>
      <xdr:row>77</xdr:row>
      <xdr:rowOff>0</xdr:rowOff>
    </xdr:from>
    <xdr:to>
      <xdr:col>1</xdr:col>
      <xdr:colOff>839524</xdr:colOff>
      <xdr:row>78</xdr:row>
      <xdr:rowOff>0</xdr:rowOff>
    </xdr:to>
    <xdr:grpSp>
      <xdr:nvGrpSpPr>
        <xdr:cNvPr id="1040" name="Group 466">
          <a:extLst>
            <a:ext uri="{FF2B5EF4-FFF2-40B4-BE49-F238E27FC236}">
              <a16:creationId xmlns:a16="http://schemas.microsoft.com/office/drawing/2014/main" id="{00000000-0008-0000-0000-000010040000}"/>
            </a:ext>
          </a:extLst>
        </xdr:cNvPr>
        <xdr:cNvGrpSpPr>
          <a:grpSpLocks/>
        </xdr:cNvGrpSpPr>
      </xdr:nvGrpSpPr>
      <xdr:grpSpPr bwMode="auto">
        <a:xfrm>
          <a:off x="1162277" y="27715029"/>
          <a:ext cx="275961" cy="370114"/>
          <a:chOff x="401" y="230"/>
          <a:chExt cx="95" cy="183"/>
        </a:xfrm>
        <a:solidFill>
          <a:srgbClr val="FFC000"/>
        </a:solidFill>
      </xdr:grpSpPr>
      <xdr:grpSp>
        <xdr:nvGrpSpPr>
          <xdr:cNvPr id="1041" name="Group 467">
            <a:extLst>
              <a:ext uri="{FF2B5EF4-FFF2-40B4-BE49-F238E27FC236}">
                <a16:creationId xmlns:a16="http://schemas.microsoft.com/office/drawing/2014/main" id="{00000000-0008-0000-0000-000011040000}"/>
              </a:ext>
            </a:extLst>
          </xdr:cNvPr>
          <xdr:cNvGrpSpPr>
            <a:grpSpLocks/>
          </xdr:cNvGrpSpPr>
        </xdr:nvGrpSpPr>
        <xdr:grpSpPr bwMode="auto">
          <a:xfrm>
            <a:off x="401" y="230"/>
            <a:ext cx="95" cy="183"/>
            <a:chOff x="390" y="230"/>
            <a:chExt cx="182" cy="165"/>
          </a:xfrm>
          <a:grpFill/>
        </xdr:grpSpPr>
        <xdr:sp macro="" textlink="">
          <xdr:nvSpPr>
            <xdr:cNvPr id="1052" name="Freeform 468">
              <a:extLst>
                <a:ext uri="{FF2B5EF4-FFF2-40B4-BE49-F238E27FC236}">
                  <a16:creationId xmlns:a16="http://schemas.microsoft.com/office/drawing/2014/main" id="{00000000-0008-0000-0000-00001C04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053" name="Rectangle 469">
              <a:extLst>
                <a:ext uri="{FF2B5EF4-FFF2-40B4-BE49-F238E27FC236}">
                  <a16:creationId xmlns:a16="http://schemas.microsoft.com/office/drawing/2014/main" id="{00000000-0008-0000-0000-00001D040000}"/>
                </a:ext>
              </a:extLst>
            </xdr:cNvPr>
            <xdr:cNvSpPr>
              <a:spLocks noChangeArrowheads="1"/>
            </xdr:cNvSpPr>
          </xdr:nvSpPr>
          <xdr:spPr bwMode="auto">
            <a:xfrm>
              <a:off x="391" y="237"/>
              <a:ext cx="180" cy="152"/>
            </a:xfrm>
            <a:prstGeom prst="rect">
              <a:avLst/>
            </a:prstGeom>
            <a:grp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054" name="Freeform 470">
              <a:extLst>
                <a:ext uri="{FF2B5EF4-FFF2-40B4-BE49-F238E27FC236}">
                  <a16:creationId xmlns:a16="http://schemas.microsoft.com/office/drawing/2014/main" id="{00000000-0008-0000-0000-00001E04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1042" name="Group 471">
            <a:extLst>
              <a:ext uri="{FF2B5EF4-FFF2-40B4-BE49-F238E27FC236}">
                <a16:creationId xmlns:a16="http://schemas.microsoft.com/office/drawing/2014/main" id="{00000000-0008-0000-0000-000012040000}"/>
              </a:ext>
            </a:extLst>
          </xdr:cNvPr>
          <xdr:cNvGrpSpPr>
            <a:grpSpLocks/>
          </xdr:cNvGrpSpPr>
        </xdr:nvGrpSpPr>
        <xdr:grpSpPr bwMode="auto">
          <a:xfrm>
            <a:off x="402" y="246"/>
            <a:ext cx="94" cy="152"/>
            <a:chOff x="402" y="246"/>
            <a:chExt cx="94" cy="152"/>
          </a:xfrm>
          <a:grpFill/>
        </xdr:grpSpPr>
        <xdr:sp macro="" textlink="">
          <xdr:nvSpPr>
            <xdr:cNvPr id="1043" name="Oval 472">
              <a:extLst>
                <a:ext uri="{FF2B5EF4-FFF2-40B4-BE49-F238E27FC236}">
                  <a16:creationId xmlns:a16="http://schemas.microsoft.com/office/drawing/2014/main" id="{00000000-0008-0000-0000-000013040000}"/>
                </a:ext>
              </a:extLst>
            </xdr:cNvPr>
            <xdr:cNvSpPr>
              <a:spLocks noChangeArrowheads="1"/>
            </xdr:cNvSpPr>
          </xdr:nvSpPr>
          <xdr:spPr bwMode="auto">
            <a:xfrm>
              <a:off x="439" y="246"/>
              <a:ext cx="19" cy="17"/>
            </a:xfrm>
            <a:prstGeom prst="ellipse">
              <a:avLst/>
            </a:prstGeom>
            <a:grpFill/>
            <a:ln w="9525">
              <a:solidFill>
                <a:srgbClr val="000000"/>
              </a:solidFill>
              <a:round/>
              <a:headEnd/>
              <a:tailEnd/>
            </a:ln>
          </xdr:spPr>
        </xdr:sp>
        <xdr:sp macro="" textlink="">
          <xdr:nvSpPr>
            <xdr:cNvPr id="1044" name="AutoShape 473">
              <a:extLst>
                <a:ext uri="{FF2B5EF4-FFF2-40B4-BE49-F238E27FC236}">
                  <a16:creationId xmlns:a16="http://schemas.microsoft.com/office/drawing/2014/main" id="{00000000-0008-0000-0000-000014040000}"/>
                </a:ext>
              </a:extLst>
            </xdr:cNvPr>
            <xdr:cNvSpPr>
              <a:spLocks noChangeArrowheads="1"/>
            </xdr:cNvSpPr>
          </xdr:nvSpPr>
          <xdr:spPr bwMode="auto">
            <a:xfrm>
              <a:off x="402" y="274"/>
              <a:ext cx="12" cy="17"/>
            </a:xfrm>
            <a:prstGeom prst="flowChartDelay">
              <a:avLst/>
            </a:prstGeom>
            <a:grpFill/>
            <a:ln w="9525">
              <a:solidFill>
                <a:srgbClr val="000000"/>
              </a:solidFill>
              <a:miter lim="800000"/>
              <a:headEnd/>
              <a:tailEnd/>
            </a:ln>
          </xdr:spPr>
        </xdr:sp>
        <xdr:sp macro="" textlink="">
          <xdr:nvSpPr>
            <xdr:cNvPr id="1045" name="Oval 474">
              <a:extLst>
                <a:ext uri="{FF2B5EF4-FFF2-40B4-BE49-F238E27FC236}">
                  <a16:creationId xmlns:a16="http://schemas.microsoft.com/office/drawing/2014/main" id="{00000000-0008-0000-0000-000015040000}"/>
                </a:ext>
              </a:extLst>
            </xdr:cNvPr>
            <xdr:cNvSpPr>
              <a:spLocks noChangeArrowheads="1"/>
            </xdr:cNvSpPr>
          </xdr:nvSpPr>
          <xdr:spPr bwMode="auto">
            <a:xfrm>
              <a:off x="439" y="300"/>
              <a:ext cx="19" cy="17"/>
            </a:xfrm>
            <a:prstGeom prst="ellipse">
              <a:avLst/>
            </a:prstGeom>
            <a:grpFill/>
            <a:ln w="9525">
              <a:solidFill>
                <a:srgbClr val="000000"/>
              </a:solidFill>
              <a:round/>
              <a:headEnd/>
              <a:tailEnd/>
            </a:ln>
          </xdr:spPr>
        </xdr:sp>
        <xdr:sp macro="" textlink="">
          <xdr:nvSpPr>
            <xdr:cNvPr id="1046" name="AutoShape 475">
              <a:extLst>
                <a:ext uri="{FF2B5EF4-FFF2-40B4-BE49-F238E27FC236}">
                  <a16:creationId xmlns:a16="http://schemas.microsoft.com/office/drawing/2014/main" id="{00000000-0008-0000-0000-000016040000}"/>
                </a:ext>
              </a:extLst>
            </xdr:cNvPr>
            <xdr:cNvSpPr>
              <a:spLocks noChangeArrowheads="1"/>
            </xdr:cNvSpPr>
          </xdr:nvSpPr>
          <xdr:spPr bwMode="auto">
            <a:xfrm flipH="1">
              <a:off x="484" y="275"/>
              <a:ext cx="12" cy="17"/>
            </a:xfrm>
            <a:prstGeom prst="flowChartDelay">
              <a:avLst/>
            </a:prstGeom>
            <a:grpFill/>
            <a:ln w="9525">
              <a:solidFill>
                <a:srgbClr val="000000"/>
              </a:solidFill>
              <a:miter lim="800000"/>
              <a:headEnd/>
              <a:tailEnd/>
            </a:ln>
          </xdr:spPr>
        </xdr:sp>
        <xdr:sp macro="" textlink="">
          <xdr:nvSpPr>
            <xdr:cNvPr id="1047" name="AutoShape 476">
              <a:extLst>
                <a:ext uri="{FF2B5EF4-FFF2-40B4-BE49-F238E27FC236}">
                  <a16:creationId xmlns:a16="http://schemas.microsoft.com/office/drawing/2014/main" id="{00000000-0008-0000-0000-000017040000}"/>
                </a:ext>
              </a:extLst>
            </xdr:cNvPr>
            <xdr:cNvSpPr>
              <a:spLocks noChangeArrowheads="1"/>
            </xdr:cNvSpPr>
          </xdr:nvSpPr>
          <xdr:spPr bwMode="auto">
            <a:xfrm>
              <a:off x="402" y="329"/>
              <a:ext cx="12" cy="17"/>
            </a:xfrm>
            <a:prstGeom prst="flowChartDelay">
              <a:avLst/>
            </a:prstGeom>
            <a:grpFill/>
            <a:ln w="9525">
              <a:solidFill>
                <a:srgbClr val="000000"/>
              </a:solidFill>
              <a:miter lim="800000"/>
              <a:headEnd/>
              <a:tailEnd/>
            </a:ln>
          </xdr:spPr>
        </xdr:sp>
        <xdr:sp macro="" textlink="">
          <xdr:nvSpPr>
            <xdr:cNvPr id="1048" name="Oval 477">
              <a:extLst>
                <a:ext uri="{FF2B5EF4-FFF2-40B4-BE49-F238E27FC236}">
                  <a16:creationId xmlns:a16="http://schemas.microsoft.com/office/drawing/2014/main" id="{00000000-0008-0000-0000-000018040000}"/>
                </a:ext>
              </a:extLst>
            </xdr:cNvPr>
            <xdr:cNvSpPr>
              <a:spLocks noChangeArrowheads="1"/>
            </xdr:cNvSpPr>
          </xdr:nvSpPr>
          <xdr:spPr bwMode="auto">
            <a:xfrm>
              <a:off x="438" y="354"/>
              <a:ext cx="19" cy="17"/>
            </a:xfrm>
            <a:prstGeom prst="ellipse">
              <a:avLst/>
            </a:prstGeom>
            <a:grpFill/>
            <a:ln w="9525">
              <a:solidFill>
                <a:srgbClr val="000000"/>
              </a:solidFill>
              <a:round/>
              <a:headEnd/>
              <a:tailEnd/>
            </a:ln>
          </xdr:spPr>
        </xdr:sp>
        <xdr:sp macro="" textlink="">
          <xdr:nvSpPr>
            <xdr:cNvPr id="1049" name="AutoShape 478">
              <a:extLst>
                <a:ext uri="{FF2B5EF4-FFF2-40B4-BE49-F238E27FC236}">
                  <a16:creationId xmlns:a16="http://schemas.microsoft.com/office/drawing/2014/main" id="{00000000-0008-0000-0000-000019040000}"/>
                </a:ext>
              </a:extLst>
            </xdr:cNvPr>
            <xdr:cNvSpPr>
              <a:spLocks noChangeArrowheads="1"/>
            </xdr:cNvSpPr>
          </xdr:nvSpPr>
          <xdr:spPr bwMode="auto">
            <a:xfrm flipH="1">
              <a:off x="484" y="329"/>
              <a:ext cx="12" cy="17"/>
            </a:xfrm>
            <a:prstGeom prst="flowChartDelay">
              <a:avLst/>
            </a:prstGeom>
            <a:grpFill/>
            <a:ln w="9525">
              <a:solidFill>
                <a:srgbClr val="000000"/>
              </a:solidFill>
              <a:miter lim="800000"/>
              <a:headEnd/>
              <a:tailEnd/>
            </a:ln>
          </xdr:spPr>
        </xdr:sp>
        <xdr:sp macro="" textlink="">
          <xdr:nvSpPr>
            <xdr:cNvPr id="1050" name="AutoShape 479">
              <a:extLst>
                <a:ext uri="{FF2B5EF4-FFF2-40B4-BE49-F238E27FC236}">
                  <a16:creationId xmlns:a16="http://schemas.microsoft.com/office/drawing/2014/main" id="{00000000-0008-0000-0000-00001A040000}"/>
                </a:ext>
              </a:extLst>
            </xdr:cNvPr>
            <xdr:cNvSpPr>
              <a:spLocks noChangeArrowheads="1"/>
            </xdr:cNvSpPr>
          </xdr:nvSpPr>
          <xdr:spPr bwMode="auto">
            <a:xfrm>
              <a:off x="402" y="380"/>
              <a:ext cx="12" cy="17"/>
            </a:xfrm>
            <a:prstGeom prst="flowChartDelay">
              <a:avLst/>
            </a:prstGeom>
            <a:grpFill/>
            <a:ln w="9525">
              <a:solidFill>
                <a:srgbClr val="000000"/>
              </a:solidFill>
              <a:miter lim="800000"/>
              <a:headEnd/>
              <a:tailEnd/>
            </a:ln>
          </xdr:spPr>
        </xdr:sp>
        <xdr:sp macro="" textlink="">
          <xdr:nvSpPr>
            <xdr:cNvPr id="1051" name="AutoShape 480">
              <a:extLst>
                <a:ext uri="{FF2B5EF4-FFF2-40B4-BE49-F238E27FC236}">
                  <a16:creationId xmlns:a16="http://schemas.microsoft.com/office/drawing/2014/main" id="{00000000-0008-0000-0000-00001B040000}"/>
                </a:ext>
              </a:extLst>
            </xdr:cNvPr>
            <xdr:cNvSpPr>
              <a:spLocks noChangeArrowheads="1"/>
            </xdr:cNvSpPr>
          </xdr:nvSpPr>
          <xdr:spPr bwMode="auto">
            <a:xfrm flipH="1">
              <a:off x="484" y="381"/>
              <a:ext cx="12" cy="17"/>
            </a:xfrm>
            <a:prstGeom prst="flowChartDelay">
              <a:avLst/>
            </a:prstGeom>
            <a:grpFill/>
            <a:ln w="9525">
              <a:solidFill>
                <a:srgbClr val="000000"/>
              </a:solidFill>
              <a:miter lim="800000"/>
              <a:headEnd/>
              <a:tailEnd/>
            </a:ln>
          </xdr:spPr>
        </xdr:sp>
      </xdr:grpSp>
    </xdr:grpSp>
    <xdr:clientData/>
  </xdr:twoCellAnchor>
  <xdr:twoCellAnchor>
    <xdr:from>
      <xdr:col>1</xdr:col>
      <xdr:colOff>226217</xdr:colOff>
      <xdr:row>78</xdr:row>
      <xdr:rowOff>0</xdr:rowOff>
    </xdr:from>
    <xdr:to>
      <xdr:col>1</xdr:col>
      <xdr:colOff>559592</xdr:colOff>
      <xdr:row>78</xdr:row>
      <xdr:rowOff>0</xdr:rowOff>
    </xdr:to>
    <xdr:grpSp>
      <xdr:nvGrpSpPr>
        <xdr:cNvPr id="1055" name="Group 485">
          <a:extLst>
            <a:ext uri="{FF2B5EF4-FFF2-40B4-BE49-F238E27FC236}">
              <a16:creationId xmlns:a16="http://schemas.microsoft.com/office/drawing/2014/main" id="{00000000-0008-0000-0000-00001F040000}"/>
            </a:ext>
          </a:extLst>
        </xdr:cNvPr>
        <xdr:cNvGrpSpPr>
          <a:grpSpLocks/>
        </xdr:cNvGrpSpPr>
      </xdr:nvGrpSpPr>
      <xdr:grpSpPr bwMode="auto">
        <a:xfrm rot="80297" flipH="1">
          <a:off x="824931" y="28085143"/>
          <a:ext cx="333375" cy="0"/>
          <a:chOff x="98" y="425"/>
          <a:chExt cx="93" cy="103"/>
        </a:xfrm>
      </xdr:grpSpPr>
      <xdr:sp macro="" textlink="">
        <xdr:nvSpPr>
          <xdr:cNvPr id="270" name="Freeform 486">
            <a:extLst>
              <a:ext uri="{FF2B5EF4-FFF2-40B4-BE49-F238E27FC236}">
                <a16:creationId xmlns:a16="http://schemas.microsoft.com/office/drawing/2014/main" id="{00000000-0008-0000-0000-00000E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279" name="Freeform 487">
            <a:extLst>
              <a:ext uri="{FF2B5EF4-FFF2-40B4-BE49-F238E27FC236}">
                <a16:creationId xmlns:a16="http://schemas.microsoft.com/office/drawing/2014/main" id="{00000000-0008-0000-0000-000017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280" name="Freeform 488">
            <a:extLst>
              <a:ext uri="{FF2B5EF4-FFF2-40B4-BE49-F238E27FC236}">
                <a16:creationId xmlns:a16="http://schemas.microsoft.com/office/drawing/2014/main" id="{00000000-0008-0000-0000-000018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523876</xdr:colOff>
      <xdr:row>26</xdr:row>
      <xdr:rowOff>7937</xdr:rowOff>
    </xdr:from>
    <xdr:to>
      <xdr:col>1</xdr:col>
      <xdr:colOff>833439</xdr:colOff>
      <xdr:row>26</xdr:row>
      <xdr:rowOff>332424</xdr:rowOff>
    </xdr:to>
    <xdr:grpSp>
      <xdr:nvGrpSpPr>
        <xdr:cNvPr id="271" name="Group 107">
          <a:extLst>
            <a:ext uri="{FF2B5EF4-FFF2-40B4-BE49-F238E27FC236}">
              <a16:creationId xmlns:a16="http://schemas.microsoft.com/office/drawing/2014/main" id="{00000000-0008-0000-0000-00000F010000}"/>
            </a:ext>
          </a:extLst>
        </xdr:cNvPr>
        <xdr:cNvGrpSpPr>
          <a:grpSpLocks/>
        </xdr:cNvGrpSpPr>
      </xdr:nvGrpSpPr>
      <xdr:grpSpPr bwMode="auto">
        <a:xfrm>
          <a:off x="1122590" y="10131651"/>
          <a:ext cx="309563" cy="324487"/>
          <a:chOff x="164" y="352"/>
          <a:chExt cx="17" cy="20"/>
        </a:xfrm>
      </xdr:grpSpPr>
      <xdr:sp macro="" textlink="">
        <xdr:nvSpPr>
          <xdr:cNvPr id="272" name="Rectangle 108">
            <a:extLst>
              <a:ext uri="{FF2B5EF4-FFF2-40B4-BE49-F238E27FC236}">
                <a16:creationId xmlns:a16="http://schemas.microsoft.com/office/drawing/2014/main" id="{00000000-0008-0000-0000-000010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273" name="Line 109">
            <a:extLst>
              <a:ext uri="{FF2B5EF4-FFF2-40B4-BE49-F238E27FC236}">
                <a16:creationId xmlns:a16="http://schemas.microsoft.com/office/drawing/2014/main" id="{00000000-0008-0000-0000-000011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274" name="Line 110">
            <a:extLst>
              <a:ext uri="{FF2B5EF4-FFF2-40B4-BE49-F238E27FC236}">
                <a16:creationId xmlns:a16="http://schemas.microsoft.com/office/drawing/2014/main" id="{00000000-0008-0000-0000-000012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523876</xdr:colOff>
      <xdr:row>25</xdr:row>
      <xdr:rowOff>7937</xdr:rowOff>
    </xdr:from>
    <xdr:to>
      <xdr:col>1</xdr:col>
      <xdr:colOff>833439</xdr:colOff>
      <xdr:row>25</xdr:row>
      <xdr:rowOff>332424</xdr:rowOff>
    </xdr:to>
    <xdr:grpSp>
      <xdr:nvGrpSpPr>
        <xdr:cNvPr id="281" name="Group 107">
          <a:extLst>
            <a:ext uri="{FF2B5EF4-FFF2-40B4-BE49-F238E27FC236}">
              <a16:creationId xmlns:a16="http://schemas.microsoft.com/office/drawing/2014/main" id="{00000000-0008-0000-0000-000019010000}"/>
            </a:ext>
          </a:extLst>
        </xdr:cNvPr>
        <xdr:cNvGrpSpPr>
          <a:grpSpLocks/>
        </xdr:cNvGrpSpPr>
      </xdr:nvGrpSpPr>
      <xdr:grpSpPr bwMode="auto">
        <a:xfrm>
          <a:off x="1122590" y="9783308"/>
          <a:ext cx="309563" cy="324487"/>
          <a:chOff x="164" y="352"/>
          <a:chExt cx="17" cy="20"/>
        </a:xfrm>
      </xdr:grpSpPr>
      <xdr:sp macro="" textlink="">
        <xdr:nvSpPr>
          <xdr:cNvPr id="282" name="Rectangle 108">
            <a:extLst>
              <a:ext uri="{FF2B5EF4-FFF2-40B4-BE49-F238E27FC236}">
                <a16:creationId xmlns:a16="http://schemas.microsoft.com/office/drawing/2014/main" id="{00000000-0008-0000-0000-00001A010000}"/>
              </a:ext>
            </a:extLst>
          </xdr:cNvPr>
          <xdr:cNvSpPr>
            <a:spLocks noChangeArrowheads="1"/>
          </xdr:cNvSpPr>
        </xdr:nvSpPr>
        <xdr:spPr bwMode="auto">
          <a:xfrm>
            <a:off x="164" y="352"/>
            <a:ext cx="17" cy="20"/>
          </a:xfrm>
          <a:prstGeom prst="rect">
            <a:avLst/>
          </a:prstGeom>
          <a:gradFill rotWithShape="0">
            <a:gsLst>
              <a:gs pos="0">
                <a:srgbClr val="747474"/>
              </a:gs>
              <a:gs pos="50000">
                <a:srgbClr val="FFFFFF"/>
              </a:gs>
              <a:gs pos="100000">
                <a:srgbClr val="747474"/>
              </a:gs>
            </a:gsLst>
            <a:lin ang="0" scaled="1"/>
          </a:gradFill>
          <a:ln w="9525">
            <a:solidFill>
              <a:srgbClr val="000000"/>
            </a:solidFill>
            <a:miter lim="800000"/>
            <a:headEnd/>
            <a:tailEnd/>
          </a:ln>
        </xdr:spPr>
      </xdr:sp>
      <xdr:sp macro="" textlink="">
        <xdr:nvSpPr>
          <xdr:cNvPr id="287" name="Line 109">
            <a:extLst>
              <a:ext uri="{FF2B5EF4-FFF2-40B4-BE49-F238E27FC236}">
                <a16:creationId xmlns:a16="http://schemas.microsoft.com/office/drawing/2014/main" id="{00000000-0008-0000-0000-00001F010000}"/>
              </a:ext>
            </a:extLst>
          </xdr:cNvPr>
          <xdr:cNvSpPr>
            <a:spLocks noChangeShapeType="1"/>
          </xdr:cNvSpPr>
        </xdr:nvSpPr>
        <xdr:spPr bwMode="auto">
          <a:xfrm>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sp macro="" textlink="">
        <xdr:nvSpPr>
          <xdr:cNvPr id="288" name="Line 110">
            <a:extLst>
              <a:ext uri="{FF2B5EF4-FFF2-40B4-BE49-F238E27FC236}">
                <a16:creationId xmlns:a16="http://schemas.microsoft.com/office/drawing/2014/main" id="{00000000-0008-0000-0000-000020010000}"/>
              </a:ext>
            </a:extLst>
          </xdr:cNvPr>
          <xdr:cNvSpPr>
            <a:spLocks noChangeShapeType="1"/>
          </xdr:cNvSpPr>
        </xdr:nvSpPr>
        <xdr:spPr bwMode="auto">
          <a:xfrm flipH="1">
            <a:off x="164" y="352"/>
            <a:ext cx="17" cy="2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sp>
    </xdr:grpSp>
    <xdr:clientData/>
  </xdr:twoCellAnchor>
  <xdr:twoCellAnchor>
    <xdr:from>
      <xdr:col>1</xdr:col>
      <xdr:colOff>553751</xdr:colOff>
      <xdr:row>62</xdr:row>
      <xdr:rowOff>272138</xdr:rowOff>
    </xdr:from>
    <xdr:to>
      <xdr:col>1</xdr:col>
      <xdr:colOff>874806</xdr:colOff>
      <xdr:row>64</xdr:row>
      <xdr:rowOff>41950</xdr:rowOff>
    </xdr:to>
    <xdr:grpSp>
      <xdr:nvGrpSpPr>
        <xdr:cNvPr id="289" name="Group 6254">
          <a:extLst>
            <a:ext uri="{FF2B5EF4-FFF2-40B4-BE49-F238E27FC236}">
              <a16:creationId xmlns:a16="http://schemas.microsoft.com/office/drawing/2014/main" id="{00000000-0008-0000-0000-000021010000}"/>
            </a:ext>
          </a:extLst>
        </xdr:cNvPr>
        <xdr:cNvGrpSpPr>
          <a:grpSpLocks/>
        </xdr:cNvGrpSpPr>
      </xdr:nvGrpSpPr>
      <xdr:grpSpPr bwMode="auto">
        <a:xfrm>
          <a:off x="1152465" y="22707595"/>
          <a:ext cx="321055" cy="433841"/>
          <a:chOff x="73" y="225"/>
          <a:chExt cx="17" cy="75"/>
        </a:xfrm>
      </xdr:grpSpPr>
      <xdr:sp macro="" textlink="">
        <xdr:nvSpPr>
          <xdr:cNvPr id="290" name="Rectangle 696">
            <a:extLst>
              <a:ext uri="{FF2B5EF4-FFF2-40B4-BE49-F238E27FC236}">
                <a16:creationId xmlns:a16="http://schemas.microsoft.com/office/drawing/2014/main" id="{00000000-0008-0000-0000-000022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291" name="Rectangle 697">
            <a:extLst>
              <a:ext uri="{FF2B5EF4-FFF2-40B4-BE49-F238E27FC236}">
                <a16:creationId xmlns:a16="http://schemas.microsoft.com/office/drawing/2014/main" id="{00000000-0008-0000-0000-000023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292" name="Freeform 698">
            <a:extLst>
              <a:ext uri="{FF2B5EF4-FFF2-40B4-BE49-F238E27FC236}">
                <a16:creationId xmlns:a16="http://schemas.microsoft.com/office/drawing/2014/main" id="{00000000-0008-0000-0000-000024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523122</xdr:colOff>
      <xdr:row>26</xdr:row>
      <xdr:rowOff>351981</xdr:rowOff>
    </xdr:from>
    <xdr:to>
      <xdr:col>1</xdr:col>
      <xdr:colOff>822865</xdr:colOff>
      <xdr:row>27</xdr:row>
      <xdr:rowOff>0</xdr:rowOff>
    </xdr:to>
    <xdr:grpSp>
      <xdr:nvGrpSpPr>
        <xdr:cNvPr id="311" name="Group 6254">
          <a:extLst>
            <a:ext uri="{FF2B5EF4-FFF2-40B4-BE49-F238E27FC236}">
              <a16:creationId xmlns:a16="http://schemas.microsoft.com/office/drawing/2014/main" id="{00000000-0008-0000-0000-000037010000}"/>
            </a:ext>
          </a:extLst>
        </xdr:cNvPr>
        <xdr:cNvGrpSpPr>
          <a:grpSpLocks/>
        </xdr:cNvGrpSpPr>
      </xdr:nvGrpSpPr>
      <xdr:grpSpPr bwMode="auto">
        <a:xfrm>
          <a:off x="1121836" y="10475695"/>
          <a:ext cx="299743" cy="0"/>
          <a:chOff x="73" y="225"/>
          <a:chExt cx="17" cy="75"/>
        </a:xfrm>
      </xdr:grpSpPr>
      <xdr:sp macro="" textlink="">
        <xdr:nvSpPr>
          <xdr:cNvPr id="320" name="Rectangle 696">
            <a:extLst>
              <a:ext uri="{FF2B5EF4-FFF2-40B4-BE49-F238E27FC236}">
                <a16:creationId xmlns:a16="http://schemas.microsoft.com/office/drawing/2014/main" id="{00000000-0008-0000-0000-000040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21" name="Rectangle 697">
            <a:extLst>
              <a:ext uri="{FF2B5EF4-FFF2-40B4-BE49-F238E27FC236}">
                <a16:creationId xmlns:a16="http://schemas.microsoft.com/office/drawing/2014/main" id="{00000000-0008-0000-0000-000041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22" name="Freeform 698">
            <a:extLst>
              <a:ext uri="{FF2B5EF4-FFF2-40B4-BE49-F238E27FC236}">
                <a16:creationId xmlns:a16="http://schemas.microsoft.com/office/drawing/2014/main" id="{00000000-0008-0000-0000-000042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567840</xdr:colOff>
      <xdr:row>76</xdr:row>
      <xdr:rowOff>0</xdr:rowOff>
    </xdr:from>
    <xdr:to>
      <xdr:col>1</xdr:col>
      <xdr:colOff>843801</xdr:colOff>
      <xdr:row>77</xdr:row>
      <xdr:rowOff>0</xdr:rowOff>
    </xdr:to>
    <xdr:grpSp>
      <xdr:nvGrpSpPr>
        <xdr:cNvPr id="331" name="Group 466">
          <a:extLst>
            <a:ext uri="{FF2B5EF4-FFF2-40B4-BE49-F238E27FC236}">
              <a16:creationId xmlns:a16="http://schemas.microsoft.com/office/drawing/2014/main" id="{00000000-0008-0000-0000-00004B010000}"/>
            </a:ext>
          </a:extLst>
        </xdr:cNvPr>
        <xdr:cNvGrpSpPr>
          <a:grpSpLocks/>
        </xdr:cNvGrpSpPr>
      </xdr:nvGrpSpPr>
      <xdr:grpSpPr bwMode="auto">
        <a:xfrm>
          <a:off x="1166554" y="27344914"/>
          <a:ext cx="275961" cy="370115"/>
          <a:chOff x="401" y="230"/>
          <a:chExt cx="95" cy="183"/>
        </a:xfrm>
      </xdr:grpSpPr>
      <xdr:grpSp>
        <xdr:nvGrpSpPr>
          <xdr:cNvPr id="332" name="Group 467">
            <a:extLst>
              <a:ext uri="{FF2B5EF4-FFF2-40B4-BE49-F238E27FC236}">
                <a16:creationId xmlns:a16="http://schemas.microsoft.com/office/drawing/2014/main" id="{00000000-0008-0000-0000-00004C010000}"/>
              </a:ext>
            </a:extLst>
          </xdr:cNvPr>
          <xdr:cNvGrpSpPr>
            <a:grpSpLocks/>
          </xdr:cNvGrpSpPr>
        </xdr:nvGrpSpPr>
        <xdr:grpSpPr bwMode="auto">
          <a:xfrm>
            <a:off x="401" y="230"/>
            <a:ext cx="95" cy="183"/>
            <a:chOff x="390" y="230"/>
            <a:chExt cx="182" cy="165"/>
          </a:xfrm>
        </xdr:grpSpPr>
        <xdr:sp macro="" textlink="">
          <xdr:nvSpPr>
            <xdr:cNvPr id="343" name="Freeform 468">
              <a:extLst>
                <a:ext uri="{FF2B5EF4-FFF2-40B4-BE49-F238E27FC236}">
                  <a16:creationId xmlns:a16="http://schemas.microsoft.com/office/drawing/2014/main" id="{00000000-0008-0000-0000-00005701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344" name="Rectangle 469">
              <a:extLst>
                <a:ext uri="{FF2B5EF4-FFF2-40B4-BE49-F238E27FC236}">
                  <a16:creationId xmlns:a16="http://schemas.microsoft.com/office/drawing/2014/main" id="{00000000-0008-0000-0000-000058010000}"/>
                </a:ext>
              </a:extLst>
            </xdr:cNvPr>
            <xdr:cNvSpPr>
              <a:spLocks noChangeArrowheads="1"/>
            </xdr:cNvSpPr>
          </xdr:nvSpPr>
          <xdr:spPr bwMode="auto">
            <a:xfrm>
              <a:off x="391" y="237"/>
              <a:ext cx="180" cy="152"/>
            </a:xfrm>
            <a:prstGeom prst="rect">
              <a:avLst/>
            </a:prstGeom>
            <a:gradFill rotWithShape="0">
              <a:gsLst>
                <a:gs pos="0">
                  <a:srgbClr val="008B00"/>
                </a:gs>
                <a:gs pos="50000">
                  <a:srgbClr val="00FF00"/>
                </a:gs>
                <a:gs pos="100000">
                  <a:srgbClr val="008B00"/>
                </a:gs>
              </a:gsLst>
              <a:lin ang="0" scaled="1"/>
            </a:grad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345" name="Freeform 470">
              <a:extLst>
                <a:ext uri="{FF2B5EF4-FFF2-40B4-BE49-F238E27FC236}">
                  <a16:creationId xmlns:a16="http://schemas.microsoft.com/office/drawing/2014/main" id="{00000000-0008-0000-0000-00005901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333" name="Group 471">
            <a:extLst>
              <a:ext uri="{FF2B5EF4-FFF2-40B4-BE49-F238E27FC236}">
                <a16:creationId xmlns:a16="http://schemas.microsoft.com/office/drawing/2014/main" id="{00000000-0008-0000-0000-00004D010000}"/>
              </a:ext>
            </a:extLst>
          </xdr:cNvPr>
          <xdr:cNvGrpSpPr>
            <a:grpSpLocks/>
          </xdr:cNvGrpSpPr>
        </xdr:nvGrpSpPr>
        <xdr:grpSpPr bwMode="auto">
          <a:xfrm>
            <a:off x="402" y="246"/>
            <a:ext cx="94" cy="152"/>
            <a:chOff x="402" y="246"/>
            <a:chExt cx="94" cy="152"/>
          </a:xfrm>
        </xdr:grpSpPr>
        <xdr:sp macro="" textlink="">
          <xdr:nvSpPr>
            <xdr:cNvPr id="334" name="Oval 472">
              <a:extLst>
                <a:ext uri="{FF2B5EF4-FFF2-40B4-BE49-F238E27FC236}">
                  <a16:creationId xmlns:a16="http://schemas.microsoft.com/office/drawing/2014/main" id="{00000000-0008-0000-0000-00004E010000}"/>
                </a:ext>
              </a:extLst>
            </xdr:cNvPr>
            <xdr:cNvSpPr>
              <a:spLocks noChangeArrowheads="1"/>
            </xdr:cNvSpPr>
          </xdr:nvSpPr>
          <xdr:spPr bwMode="auto">
            <a:xfrm>
              <a:off x="439" y="246"/>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335" name="AutoShape 473">
              <a:extLst>
                <a:ext uri="{FF2B5EF4-FFF2-40B4-BE49-F238E27FC236}">
                  <a16:creationId xmlns:a16="http://schemas.microsoft.com/office/drawing/2014/main" id="{00000000-0008-0000-0000-00004F010000}"/>
                </a:ext>
              </a:extLst>
            </xdr:cNvPr>
            <xdr:cNvSpPr>
              <a:spLocks noChangeArrowheads="1"/>
            </xdr:cNvSpPr>
          </xdr:nvSpPr>
          <xdr:spPr bwMode="auto">
            <a:xfrm>
              <a:off x="402" y="274"/>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336" name="Oval 474">
              <a:extLst>
                <a:ext uri="{FF2B5EF4-FFF2-40B4-BE49-F238E27FC236}">
                  <a16:creationId xmlns:a16="http://schemas.microsoft.com/office/drawing/2014/main" id="{00000000-0008-0000-0000-000050010000}"/>
                </a:ext>
              </a:extLst>
            </xdr:cNvPr>
            <xdr:cNvSpPr>
              <a:spLocks noChangeArrowheads="1"/>
            </xdr:cNvSpPr>
          </xdr:nvSpPr>
          <xdr:spPr bwMode="auto">
            <a:xfrm>
              <a:off x="439" y="300"/>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337" name="AutoShape 475">
              <a:extLst>
                <a:ext uri="{FF2B5EF4-FFF2-40B4-BE49-F238E27FC236}">
                  <a16:creationId xmlns:a16="http://schemas.microsoft.com/office/drawing/2014/main" id="{00000000-0008-0000-0000-000051010000}"/>
                </a:ext>
              </a:extLst>
            </xdr:cNvPr>
            <xdr:cNvSpPr>
              <a:spLocks noChangeArrowheads="1"/>
            </xdr:cNvSpPr>
          </xdr:nvSpPr>
          <xdr:spPr bwMode="auto">
            <a:xfrm flipH="1">
              <a:off x="484" y="275"/>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338" name="AutoShape 476">
              <a:extLst>
                <a:ext uri="{FF2B5EF4-FFF2-40B4-BE49-F238E27FC236}">
                  <a16:creationId xmlns:a16="http://schemas.microsoft.com/office/drawing/2014/main" id="{00000000-0008-0000-0000-000052010000}"/>
                </a:ext>
              </a:extLst>
            </xdr:cNvPr>
            <xdr:cNvSpPr>
              <a:spLocks noChangeArrowheads="1"/>
            </xdr:cNvSpPr>
          </xdr:nvSpPr>
          <xdr:spPr bwMode="auto">
            <a:xfrm>
              <a:off x="402"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339" name="Oval 477">
              <a:extLst>
                <a:ext uri="{FF2B5EF4-FFF2-40B4-BE49-F238E27FC236}">
                  <a16:creationId xmlns:a16="http://schemas.microsoft.com/office/drawing/2014/main" id="{00000000-0008-0000-0000-000053010000}"/>
                </a:ext>
              </a:extLst>
            </xdr:cNvPr>
            <xdr:cNvSpPr>
              <a:spLocks noChangeArrowheads="1"/>
            </xdr:cNvSpPr>
          </xdr:nvSpPr>
          <xdr:spPr bwMode="auto">
            <a:xfrm>
              <a:off x="438" y="354"/>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340" name="AutoShape 478">
              <a:extLst>
                <a:ext uri="{FF2B5EF4-FFF2-40B4-BE49-F238E27FC236}">
                  <a16:creationId xmlns:a16="http://schemas.microsoft.com/office/drawing/2014/main" id="{00000000-0008-0000-0000-000054010000}"/>
                </a:ext>
              </a:extLst>
            </xdr:cNvPr>
            <xdr:cNvSpPr>
              <a:spLocks noChangeArrowheads="1"/>
            </xdr:cNvSpPr>
          </xdr:nvSpPr>
          <xdr:spPr bwMode="auto">
            <a:xfrm flipH="1">
              <a:off x="484"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341" name="AutoShape 479">
              <a:extLst>
                <a:ext uri="{FF2B5EF4-FFF2-40B4-BE49-F238E27FC236}">
                  <a16:creationId xmlns:a16="http://schemas.microsoft.com/office/drawing/2014/main" id="{00000000-0008-0000-0000-000055010000}"/>
                </a:ext>
              </a:extLst>
            </xdr:cNvPr>
            <xdr:cNvSpPr>
              <a:spLocks noChangeArrowheads="1"/>
            </xdr:cNvSpPr>
          </xdr:nvSpPr>
          <xdr:spPr bwMode="auto">
            <a:xfrm>
              <a:off x="402" y="380"/>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342" name="AutoShape 480">
              <a:extLst>
                <a:ext uri="{FF2B5EF4-FFF2-40B4-BE49-F238E27FC236}">
                  <a16:creationId xmlns:a16="http://schemas.microsoft.com/office/drawing/2014/main" id="{00000000-0008-0000-0000-000056010000}"/>
                </a:ext>
              </a:extLst>
            </xdr:cNvPr>
            <xdr:cNvSpPr>
              <a:spLocks noChangeArrowheads="1"/>
            </xdr:cNvSpPr>
          </xdr:nvSpPr>
          <xdr:spPr bwMode="auto">
            <a:xfrm flipH="1">
              <a:off x="484" y="381"/>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grpSp>
    </xdr:grpSp>
    <xdr:clientData/>
  </xdr:twoCellAnchor>
  <xdr:twoCellAnchor>
    <xdr:from>
      <xdr:col>1</xdr:col>
      <xdr:colOff>848075</xdr:colOff>
      <xdr:row>76</xdr:row>
      <xdr:rowOff>23812</xdr:rowOff>
    </xdr:from>
    <xdr:to>
      <xdr:col>1</xdr:col>
      <xdr:colOff>1190975</xdr:colOff>
      <xdr:row>76</xdr:row>
      <xdr:rowOff>350065</xdr:rowOff>
    </xdr:to>
    <xdr:grpSp>
      <xdr:nvGrpSpPr>
        <xdr:cNvPr id="346" name="Group 481">
          <a:extLst>
            <a:ext uri="{FF2B5EF4-FFF2-40B4-BE49-F238E27FC236}">
              <a16:creationId xmlns:a16="http://schemas.microsoft.com/office/drawing/2014/main" id="{00000000-0008-0000-0000-00005A010000}"/>
            </a:ext>
          </a:extLst>
        </xdr:cNvPr>
        <xdr:cNvGrpSpPr>
          <a:grpSpLocks/>
        </xdr:cNvGrpSpPr>
      </xdr:nvGrpSpPr>
      <xdr:grpSpPr bwMode="auto">
        <a:xfrm rot="10840149" flipH="1">
          <a:off x="1446789" y="27368726"/>
          <a:ext cx="342900" cy="326253"/>
          <a:chOff x="98" y="425"/>
          <a:chExt cx="93" cy="103"/>
        </a:xfrm>
      </xdr:grpSpPr>
      <xdr:sp macro="" textlink="">
        <xdr:nvSpPr>
          <xdr:cNvPr id="347" name="Freeform 482">
            <a:extLst>
              <a:ext uri="{FF2B5EF4-FFF2-40B4-BE49-F238E27FC236}">
                <a16:creationId xmlns:a16="http://schemas.microsoft.com/office/drawing/2014/main" id="{00000000-0008-0000-0000-00005B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48" name="Freeform 483">
            <a:extLst>
              <a:ext uri="{FF2B5EF4-FFF2-40B4-BE49-F238E27FC236}">
                <a16:creationId xmlns:a16="http://schemas.microsoft.com/office/drawing/2014/main" id="{00000000-0008-0000-0000-00005C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49" name="Freeform 484">
            <a:extLst>
              <a:ext uri="{FF2B5EF4-FFF2-40B4-BE49-F238E27FC236}">
                <a16:creationId xmlns:a16="http://schemas.microsoft.com/office/drawing/2014/main" id="{00000000-0008-0000-0000-00005D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76</xdr:row>
      <xdr:rowOff>0</xdr:rowOff>
    </xdr:from>
    <xdr:to>
      <xdr:col>1</xdr:col>
      <xdr:colOff>559592</xdr:colOff>
      <xdr:row>76</xdr:row>
      <xdr:rowOff>310596</xdr:rowOff>
    </xdr:to>
    <xdr:grpSp>
      <xdr:nvGrpSpPr>
        <xdr:cNvPr id="350" name="Group 485">
          <a:extLst>
            <a:ext uri="{FF2B5EF4-FFF2-40B4-BE49-F238E27FC236}">
              <a16:creationId xmlns:a16="http://schemas.microsoft.com/office/drawing/2014/main" id="{00000000-0008-0000-0000-00005E010000}"/>
            </a:ext>
          </a:extLst>
        </xdr:cNvPr>
        <xdr:cNvGrpSpPr>
          <a:grpSpLocks/>
        </xdr:cNvGrpSpPr>
      </xdr:nvGrpSpPr>
      <xdr:grpSpPr bwMode="auto">
        <a:xfrm rot="80297" flipH="1">
          <a:off x="824931" y="27344914"/>
          <a:ext cx="333375" cy="310596"/>
          <a:chOff x="98" y="425"/>
          <a:chExt cx="93" cy="103"/>
        </a:xfrm>
      </xdr:grpSpPr>
      <xdr:sp macro="" textlink="">
        <xdr:nvSpPr>
          <xdr:cNvPr id="351" name="Freeform 486">
            <a:extLst>
              <a:ext uri="{FF2B5EF4-FFF2-40B4-BE49-F238E27FC236}">
                <a16:creationId xmlns:a16="http://schemas.microsoft.com/office/drawing/2014/main" id="{00000000-0008-0000-0000-00005F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52" name="Freeform 487">
            <a:extLst>
              <a:ext uri="{FF2B5EF4-FFF2-40B4-BE49-F238E27FC236}">
                <a16:creationId xmlns:a16="http://schemas.microsoft.com/office/drawing/2014/main" id="{00000000-0008-0000-0000-000060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53" name="Freeform 488">
            <a:extLst>
              <a:ext uri="{FF2B5EF4-FFF2-40B4-BE49-F238E27FC236}">
                <a16:creationId xmlns:a16="http://schemas.microsoft.com/office/drawing/2014/main" id="{00000000-0008-0000-0000-000061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76</xdr:row>
      <xdr:rowOff>0</xdr:rowOff>
    </xdr:from>
    <xdr:to>
      <xdr:col>1</xdr:col>
      <xdr:colOff>559592</xdr:colOff>
      <xdr:row>76</xdr:row>
      <xdr:rowOff>0</xdr:rowOff>
    </xdr:to>
    <xdr:grpSp>
      <xdr:nvGrpSpPr>
        <xdr:cNvPr id="354" name="Group 485">
          <a:extLst>
            <a:ext uri="{FF2B5EF4-FFF2-40B4-BE49-F238E27FC236}">
              <a16:creationId xmlns:a16="http://schemas.microsoft.com/office/drawing/2014/main" id="{00000000-0008-0000-0000-000062010000}"/>
            </a:ext>
          </a:extLst>
        </xdr:cNvPr>
        <xdr:cNvGrpSpPr>
          <a:grpSpLocks/>
        </xdr:cNvGrpSpPr>
      </xdr:nvGrpSpPr>
      <xdr:grpSpPr bwMode="auto">
        <a:xfrm rot="80297" flipH="1">
          <a:off x="824931" y="27344914"/>
          <a:ext cx="333375" cy="0"/>
          <a:chOff x="98" y="425"/>
          <a:chExt cx="93" cy="103"/>
        </a:xfrm>
      </xdr:grpSpPr>
      <xdr:sp macro="" textlink="">
        <xdr:nvSpPr>
          <xdr:cNvPr id="355" name="Freeform 486">
            <a:extLst>
              <a:ext uri="{FF2B5EF4-FFF2-40B4-BE49-F238E27FC236}">
                <a16:creationId xmlns:a16="http://schemas.microsoft.com/office/drawing/2014/main" id="{00000000-0008-0000-0000-000063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56" name="Freeform 487">
            <a:extLst>
              <a:ext uri="{FF2B5EF4-FFF2-40B4-BE49-F238E27FC236}">
                <a16:creationId xmlns:a16="http://schemas.microsoft.com/office/drawing/2014/main" id="{00000000-0008-0000-0000-000064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57" name="Freeform 488">
            <a:extLst>
              <a:ext uri="{FF2B5EF4-FFF2-40B4-BE49-F238E27FC236}">
                <a16:creationId xmlns:a16="http://schemas.microsoft.com/office/drawing/2014/main" id="{00000000-0008-0000-0000-000065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76</xdr:row>
      <xdr:rowOff>0</xdr:rowOff>
    </xdr:from>
    <xdr:to>
      <xdr:col>1</xdr:col>
      <xdr:colOff>559592</xdr:colOff>
      <xdr:row>76</xdr:row>
      <xdr:rowOff>310596</xdr:rowOff>
    </xdr:to>
    <xdr:grpSp>
      <xdr:nvGrpSpPr>
        <xdr:cNvPr id="358" name="Group 485">
          <a:extLst>
            <a:ext uri="{FF2B5EF4-FFF2-40B4-BE49-F238E27FC236}">
              <a16:creationId xmlns:a16="http://schemas.microsoft.com/office/drawing/2014/main" id="{00000000-0008-0000-0000-000066010000}"/>
            </a:ext>
          </a:extLst>
        </xdr:cNvPr>
        <xdr:cNvGrpSpPr>
          <a:grpSpLocks/>
        </xdr:cNvGrpSpPr>
      </xdr:nvGrpSpPr>
      <xdr:grpSpPr bwMode="auto">
        <a:xfrm rot="80297" flipH="1">
          <a:off x="824931" y="27344914"/>
          <a:ext cx="333375" cy="310596"/>
          <a:chOff x="98" y="425"/>
          <a:chExt cx="93" cy="103"/>
        </a:xfrm>
      </xdr:grpSpPr>
      <xdr:sp macro="" textlink="">
        <xdr:nvSpPr>
          <xdr:cNvPr id="359" name="Freeform 486">
            <a:extLst>
              <a:ext uri="{FF2B5EF4-FFF2-40B4-BE49-F238E27FC236}">
                <a16:creationId xmlns:a16="http://schemas.microsoft.com/office/drawing/2014/main" id="{00000000-0008-0000-0000-000067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60" name="Freeform 487">
            <a:extLst>
              <a:ext uri="{FF2B5EF4-FFF2-40B4-BE49-F238E27FC236}">
                <a16:creationId xmlns:a16="http://schemas.microsoft.com/office/drawing/2014/main" id="{00000000-0008-0000-0000-000068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61" name="Freeform 488">
            <a:extLst>
              <a:ext uri="{FF2B5EF4-FFF2-40B4-BE49-F238E27FC236}">
                <a16:creationId xmlns:a16="http://schemas.microsoft.com/office/drawing/2014/main" id="{00000000-0008-0000-0000-000069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76</xdr:row>
      <xdr:rowOff>0</xdr:rowOff>
    </xdr:from>
    <xdr:to>
      <xdr:col>1</xdr:col>
      <xdr:colOff>559592</xdr:colOff>
      <xdr:row>76</xdr:row>
      <xdr:rowOff>0</xdr:rowOff>
    </xdr:to>
    <xdr:grpSp>
      <xdr:nvGrpSpPr>
        <xdr:cNvPr id="362" name="Group 485">
          <a:extLst>
            <a:ext uri="{FF2B5EF4-FFF2-40B4-BE49-F238E27FC236}">
              <a16:creationId xmlns:a16="http://schemas.microsoft.com/office/drawing/2014/main" id="{00000000-0008-0000-0000-00006A010000}"/>
            </a:ext>
          </a:extLst>
        </xdr:cNvPr>
        <xdr:cNvGrpSpPr>
          <a:grpSpLocks/>
        </xdr:cNvGrpSpPr>
      </xdr:nvGrpSpPr>
      <xdr:grpSpPr bwMode="auto">
        <a:xfrm rot="80297" flipH="1">
          <a:off x="824931" y="27344914"/>
          <a:ext cx="333375" cy="0"/>
          <a:chOff x="98" y="425"/>
          <a:chExt cx="93" cy="103"/>
        </a:xfrm>
      </xdr:grpSpPr>
      <xdr:sp macro="" textlink="">
        <xdr:nvSpPr>
          <xdr:cNvPr id="363" name="Freeform 486">
            <a:extLst>
              <a:ext uri="{FF2B5EF4-FFF2-40B4-BE49-F238E27FC236}">
                <a16:creationId xmlns:a16="http://schemas.microsoft.com/office/drawing/2014/main" id="{00000000-0008-0000-0000-00006B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64" name="Freeform 487">
            <a:extLst>
              <a:ext uri="{FF2B5EF4-FFF2-40B4-BE49-F238E27FC236}">
                <a16:creationId xmlns:a16="http://schemas.microsoft.com/office/drawing/2014/main" id="{00000000-0008-0000-0000-00006C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365" name="Freeform 488">
            <a:extLst>
              <a:ext uri="{FF2B5EF4-FFF2-40B4-BE49-F238E27FC236}">
                <a16:creationId xmlns:a16="http://schemas.microsoft.com/office/drawing/2014/main" id="{00000000-0008-0000-0000-00006D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76</xdr:row>
      <xdr:rowOff>0</xdr:rowOff>
    </xdr:from>
    <xdr:to>
      <xdr:col>1</xdr:col>
      <xdr:colOff>559592</xdr:colOff>
      <xdr:row>76</xdr:row>
      <xdr:rowOff>310596</xdr:rowOff>
    </xdr:to>
    <xdr:grpSp>
      <xdr:nvGrpSpPr>
        <xdr:cNvPr id="440" name="Group 485">
          <a:extLst>
            <a:ext uri="{FF2B5EF4-FFF2-40B4-BE49-F238E27FC236}">
              <a16:creationId xmlns:a16="http://schemas.microsoft.com/office/drawing/2014/main" id="{00000000-0008-0000-0000-0000B8010000}"/>
            </a:ext>
          </a:extLst>
        </xdr:cNvPr>
        <xdr:cNvGrpSpPr>
          <a:grpSpLocks/>
        </xdr:cNvGrpSpPr>
      </xdr:nvGrpSpPr>
      <xdr:grpSpPr bwMode="auto">
        <a:xfrm rot="80297" flipH="1">
          <a:off x="824931" y="27344914"/>
          <a:ext cx="333375" cy="310596"/>
          <a:chOff x="98" y="425"/>
          <a:chExt cx="93" cy="103"/>
        </a:xfrm>
      </xdr:grpSpPr>
      <xdr:sp macro="" textlink="">
        <xdr:nvSpPr>
          <xdr:cNvPr id="441" name="Freeform 486">
            <a:extLst>
              <a:ext uri="{FF2B5EF4-FFF2-40B4-BE49-F238E27FC236}">
                <a16:creationId xmlns:a16="http://schemas.microsoft.com/office/drawing/2014/main" id="{00000000-0008-0000-0000-0000B9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42" name="Freeform 487">
            <a:extLst>
              <a:ext uri="{FF2B5EF4-FFF2-40B4-BE49-F238E27FC236}">
                <a16:creationId xmlns:a16="http://schemas.microsoft.com/office/drawing/2014/main" id="{00000000-0008-0000-0000-0000BA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43" name="Freeform 488">
            <a:extLst>
              <a:ext uri="{FF2B5EF4-FFF2-40B4-BE49-F238E27FC236}">
                <a16:creationId xmlns:a16="http://schemas.microsoft.com/office/drawing/2014/main" id="{00000000-0008-0000-0000-0000BB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76</xdr:row>
      <xdr:rowOff>0</xdr:rowOff>
    </xdr:from>
    <xdr:to>
      <xdr:col>1</xdr:col>
      <xdr:colOff>559592</xdr:colOff>
      <xdr:row>76</xdr:row>
      <xdr:rowOff>0</xdr:rowOff>
    </xdr:to>
    <xdr:grpSp>
      <xdr:nvGrpSpPr>
        <xdr:cNvPr id="444" name="Group 485">
          <a:extLst>
            <a:ext uri="{FF2B5EF4-FFF2-40B4-BE49-F238E27FC236}">
              <a16:creationId xmlns:a16="http://schemas.microsoft.com/office/drawing/2014/main" id="{00000000-0008-0000-0000-0000BC010000}"/>
            </a:ext>
          </a:extLst>
        </xdr:cNvPr>
        <xdr:cNvGrpSpPr>
          <a:grpSpLocks/>
        </xdr:cNvGrpSpPr>
      </xdr:nvGrpSpPr>
      <xdr:grpSpPr bwMode="auto">
        <a:xfrm rot="80297" flipH="1">
          <a:off x="824931" y="27344914"/>
          <a:ext cx="333375" cy="0"/>
          <a:chOff x="98" y="425"/>
          <a:chExt cx="93" cy="103"/>
        </a:xfrm>
      </xdr:grpSpPr>
      <xdr:sp macro="" textlink="">
        <xdr:nvSpPr>
          <xdr:cNvPr id="445" name="Freeform 486">
            <a:extLst>
              <a:ext uri="{FF2B5EF4-FFF2-40B4-BE49-F238E27FC236}">
                <a16:creationId xmlns:a16="http://schemas.microsoft.com/office/drawing/2014/main" id="{00000000-0008-0000-0000-0000BD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46" name="Freeform 487">
            <a:extLst>
              <a:ext uri="{FF2B5EF4-FFF2-40B4-BE49-F238E27FC236}">
                <a16:creationId xmlns:a16="http://schemas.microsoft.com/office/drawing/2014/main" id="{00000000-0008-0000-0000-0000BE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47" name="Freeform 488">
            <a:extLst>
              <a:ext uri="{FF2B5EF4-FFF2-40B4-BE49-F238E27FC236}">
                <a16:creationId xmlns:a16="http://schemas.microsoft.com/office/drawing/2014/main" id="{00000000-0008-0000-0000-0000BF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76</xdr:row>
      <xdr:rowOff>0</xdr:rowOff>
    </xdr:from>
    <xdr:to>
      <xdr:col>1</xdr:col>
      <xdr:colOff>559592</xdr:colOff>
      <xdr:row>76</xdr:row>
      <xdr:rowOff>310596</xdr:rowOff>
    </xdr:to>
    <xdr:grpSp>
      <xdr:nvGrpSpPr>
        <xdr:cNvPr id="480" name="Group 485">
          <a:extLst>
            <a:ext uri="{FF2B5EF4-FFF2-40B4-BE49-F238E27FC236}">
              <a16:creationId xmlns:a16="http://schemas.microsoft.com/office/drawing/2014/main" id="{00000000-0008-0000-0000-0000E0010000}"/>
            </a:ext>
          </a:extLst>
        </xdr:cNvPr>
        <xdr:cNvGrpSpPr>
          <a:grpSpLocks/>
        </xdr:cNvGrpSpPr>
      </xdr:nvGrpSpPr>
      <xdr:grpSpPr bwMode="auto">
        <a:xfrm rot="80297" flipH="1">
          <a:off x="824931" y="27344914"/>
          <a:ext cx="333375" cy="310596"/>
          <a:chOff x="98" y="425"/>
          <a:chExt cx="93" cy="103"/>
        </a:xfrm>
      </xdr:grpSpPr>
      <xdr:sp macro="" textlink="">
        <xdr:nvSpPr>
          <xdr:cNvPr id="481" name="Freeform 486">
            <a:extLst>
              <a:ext uri="{FF2B5EF4-FFF2-40B4-BE49-F238E27FC236}">
                <a16:creationId xmlns:a16="http://schemas.microsoft.com/office/drawing/2014/main" id="{00000000-0008-0000-0000-0000E101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82" name="Freeform 487">
            <a:extLst>
              <a:ext uri="{FF2B5EF4-FFF2-40B4-BE49-F238E27FC236}">
                <a16:creationId xmlns:a16="http://schemas.microsoft.com/office/drawing/2014/main" id="{00000000-0008-0000-0000-0000E201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483" name="Freeform 488">
            <a:extLst>
              <a:ext uri="{FF2B5EF4-FFF2-40B4-BE49-F238E27FC236}">
                <a16:creationId xmlns:a16="http://schemas.microsoft.com/office/drawing/2014/main" id="{00000000-0008-0000-0000-0000E301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563563</xdr:colOff>
      <xdr:row>75</xdr:row>
      <xdr:rowOff>0</xdr:rowOff>
    </xdr:from>
    <xdr:to>
      <xdr:col>1</xdr:col>
      <xdr:colOff>839524</xdr:colOff>
      <xdr:row>76</xdr:row>
      <xdr:rowOff>0</xdr:rowOff>
    </xdr:to>
    <xdr:grpSp>
      <xdr:nvGrpSpPr>
        <xdr:cNvPr id="484" name="Group 466">
          <a:extLst>
            <a:ext uri="{FF2B5EF4-FFF2-40B4-BE49-F238E27FC236}">
              <a16:creationId xmlns:a16="http://schemas.microsoft.com/office/drawing/2014/main" id="{00000000-0008-0000-0000-0000E4010000}"/>
            </a:ext>
          </a:extLst>
        </xdr:cNvPr>
        <xdr:cNvGrpSpPr>
          <a:grpSpLocks/>
        </xdr:cNvGrpSpPr>
      </xdr:nvGrpSpPr>
      <xdr:grpSpPr bwMode="auto">
        <a:xfrm>
          <a:off x="1162277" y="26844171"/>
          <a:ext cx="275961" cy="500743"/>
          <a:chOff x="401" y="230"/>
          <a:chExt cx="95" cy="183"/>
        </a:xfrm>
        <a:solidFill>
          <a:srgbClr val="FFC000"/>
        </a:solidFill>
      </xdr:grpSpPr>
      <xdr:grpSp>
        <xdr:nvGrpSpPr>
          <xdr:cNvPr id="485" name="Group 467">
            <a:extLst>
              <a:ext uri="{FF2B5EF4-FFF2-40B4-BE49-F238E27FC236}">
                <a16:creationId xmlns:a16="http://schemas.microsoft.com/office/drawing/2014/main" id="{00000000-0008-0000-0000-0000E5010000}"/>
              </a:ext>
            </a:extLst>
          </xdr:cNvPr>
          <xdr:cNvGrpSpPr>
            <a:grpSpLocks/>
          </xdr:cNvGrpSpPr>
        </xdr:nvGrpSpPr>
        <xdr:grpSpPr bwMode="auto">
          <a:xfrm>
            <a:off x="401" y="230"/>
            <a:ext cx="95" cy="183"/>
            <a:chOff x="390" y="230"/>
            <a:chExt cx="182" cy="165"/>
          </a:xfrm>
          <a:grpFill/>
        </xdr:grpSpPr>
        <xdr:sp macro="" textlink="">
          <xdr:nvSpPr>
            <xdr:cNvPr id="544" name="Freeform 468">
              <a:extLst>
                <a:ext uri="{FF2B5EF4-FFF2-40B4-BE49-F238E27FC236}">
                  <a16:creationId xmlns:a16="http://schemas.microsoft.com/office/drawing/2014/main" id="{00000000-0008-0000-0000-00002002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545" name="Rectangle 469">
              <a:extLst>
                <a:ext uri="{FF2B5EF4-FFF2-40B4-BE49-F238E27FC236}">
                  <a16:creationId xmlns:a16="http://schemas.microsoft.com/office/drawing/2014/main" id="{00000000-0008-0000-0000-000021020000}"/>
                </a:ext>
              </a:extLst>
            </xdr:cNvPr>
            <xdr:cNvSpPr>
              <a:spLocks noChangeArrowheads="1"/>
            </xdr:cNvSpPr>
          </xdr:nvSpPr>
          <xdr:spPr bwMode="auto">
            <a:xfrm>
              <a:off x="391" y="237"/>
              <a:ext cx="180" cy="152"/>
            </a:xfrm>
            <a:prstGeom prst="rect">
              <a:avLst/>
            </a:prstGeom>
            <a:grp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546" name="Freeform 470">
              <a:extLst>
                <a:ext uri="{FF2B5EF4-FFF2-40B4-BE49-F238E27FC236}">
                  <a16:creationId xmlns:a16="http://schemas.microsoft.com/office/drawing/2014/main" id="{00000000-0008-0000-0000-00002202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486" name="Group 471">
            <a:extLst>
              <a:ext uri="{FF2B5EF4-FFF2-40B4-BE49-F238E27FC236}">
                <a16:creationId xmlns:a16="http://schemas.microsoft.com/office/drawing/2014/main" id="{00000000-0008-0000-0000-0000E6010000}"/>
              </a:ext>
            </a:extLst>
          </xdr:cNvPr>
          <xdr:cNvGrpSpPr>
            <a:grpSpLocks/>
          </xdr:cNvGrpSpPr>
        </xdr:nvGrpSpPr>
        <xdr:grpSpPr bwMode="auto">
          <a:xfrm>
            <a:off x="402" y="246"/>
            <a:ext cx="94" cy="152"/>
            <a:chOff x="402" y="246"/>
            <a:chExt cx="94" cy="152"/>
          </a:xfrm>
          <a:grpFill/>
        </xdr:grpSpPr>
        <xdr:sp macro="" textlink="">
          <xdr:nvSpPr>
            <xdr:cNvPr id="487" name="Oval 472">
              <a:extLst>
                <a:ext uri="{FF2B5EF4-FFF2-40B4-BE49-F238E27FC236}">
                  <a16:creationId xmlns:a16="http://schemas.microsoft.com/office/drawing/2014/main" id="{00000000-0008-0000-0000-0000E7010000}"/>
                </a:ext>
              </a:extLst>
            </xdr:cNvPr>
            <xdr:cNvSpPr>
              <a:spLocks noChangeArrowheads="1"/>
            </xdr:cNvSpPr>
          </xdr:nvSpPr>
          <xdr:spPr bwMode="auto">
            <a:xfrm>
              <a:off x="439" y="246"/>
              <a:ext cx="19" cy="17"/>
            </a:xfrm>
            <a:prstGeom prst="ellipse">
              <a:avLst/>
            </a:prstGeom>
            <a:grpFill/>
            <a:ln w="9525">
              <a:solidFill>
                <a:srgbClr val="000000"/>
              </a:solidFill>
              <a:round/>
              <a:headEnd/>
              <a:tailEnd/>
            </a:ln>
          </xdr:spPr>
        </xdr:sp>
        <xdr:sp macro="" textlink="">
          <xdr:nvSpPr>
            <xdr:cNvPr id="496" name="AutoShape 473">
              <a:extLst>
                <a:ext uri="{FF2B5EF4-FFF2-40B4-BE49-F238E27FC236}">
                  <a16:creationId xmlns:a16="http://schemas.microsoft.com/office/drawing/2014/main" id="{00000000-0008-0000-0000-0000F0010000}"/>
                </a:ext>
              </a:extLst>
            </xdr:cNvPr>
            <xdr:cNvSpPr>
              <a:spLocks noChangeArrowheads="1"/>
            </xdr:cNvSpPr>
          </xdr:nvSpPr>
          <xdr:spPr bwMode="auto">
            <a:xfrm>
              <a:off x="402" y="274"/>
              <a:ext cx="12" cy="17"/>
            </a:xfrm>
            <a:prstGeom prst="flowChartDelay">
              <a:avLst/>
            </a:prstGeom>
            <a:grpFill/>
            <a:ln w="9525">
              <a:solidFill>
                <a:srgbClr val="000000"/>
              </a:solidFill>
              <a:miter lim="800000"/>
              <a:headEnd/>
              <a:tailEnd/>
            </a:ln>
          </xdr:spPr>
        </xdr:sp>
        <xdr:sp macro="" textlink="">
          <xdr:nvSpPr>
            <xdr:cNvPr id="497" name="Oval 474">
              <a:extLst>
                <a:ext uri="{FF2B5EF4-FFF2-40B4-BE49-F238E27FC236}">
                  <a16:creationId xmlns:a16="http://schemas.microsoft.com/office/drawing/2014/main" id="{00000000-0008-0000-0000-0000F1010000}"/>
                </a:ext>
              </a:extLst>
            </xdr:cNvPr>
            <xdr:cNvSpPr>
              <a:spLocks noChangeArrowheads="1"/>
            </xdr:cNvSpPr>
          </xdr:nvSpPr>
          <xdr:spPr bwMode="auto">
            <a:xfrm>
              <a:off x="439" y="300"/>
              <a:ext cx="19" cy="17"/>
            </a:xfrm>
            <a:prstGeom prst="ellipse">
              <a:avLst/>
            </a:prstGeom>
            <a:grpFill/>
            <a:ln w="9525">
              <a:solidFill>
                <a:srgbClr val="000000"/>
              </a:solidFill>
              <a:round/>
              <a:headEnd/>
              <a:tailEnd/>
            </a:ln>
          </xdr:spPr>
        </xdr:sp>
        <xdr:sp macro="" textlink="">
          <xdr:nvSpPr>
            <xdr:cNvPr id="498" name="AutoShape 475">
              <a:extLst>
                <a:ext uri="{FF2B5EF4-FFF2-40B4-BE49-F238E27FC236}">
                  <a16:creationId xmlns:a16="http://schemas.microsoft.com/office/drawing/2014/main" id="{00000000-0008-0000-0000-0000F2010000}"/>
                </a:ext>
              </a:extLst>
            </xdr:cNvPr>
            <xdr:cNvSpPr>
              <a:spLocks noChangeArrowheads="1"/>
            </xdr:cNvSpPr>
          </xdr:nvSpPr>
          <xdr:spPr bwMode="auto">
            <a:xfrm flipH="1">
              <a:off x="484" y="275"/>
              <a:ext cx="12" cy="17"/>
            </a:xfrm>
            <a:prstGeom prst="flowChartDelay">
              <a:avLst/>
            </a:prstGeom>
            <a:grpFill/>
            <a:ln w="9525">
              <a:solidFill>
                <a:srgbClr val="000000"/>
              </a:solidFill>
              <a:miter lim="800000"/>
              <a:headEnd/>
              <a:tailEnd/>
            </a:ln>
          </xdr:spPr>
        </xdr:sp>
        <xdr:sp macro="" textlink="">
          <xdr:nvSpPr>
            <xdr:cNvPr id="499" name="AutoShape 476">
              <a:extLst>
                <a:ext uri="{FF2B5EF4-FFF2-40B4-BE49-F238E27FC236}">
                  <a16:creationId xmlns:a16="http://schemas.microsoft.com/office/drawing/2014/main" id="{00000000-0008-0000-0000-0000F3010000}"/>
                </a:ext>
              </a:extLst>
            </xdr:cNvPr>
            <xdr:cNvSpPr>
              <a:spLocks noChangeArrowheads="1"/>
            </xdr:cNvSpPr>
          </xdr:nvSpPr>
          <xdr:spPr bwMode="auto">
            <a:xfrm>
              <a:off x="402" y="329"/>
              <a:ext cx="12" cy="17"/>
            </a:xfrm>
            <a:prstGeom prst="flowChartDelay">
              <a:avLst/>
            </a:prstGeom>
            <a:grpFill/>
            <a:ln w="9525">
              <a:solidFill>
                <a:srgbClr val="000000"/>
              </a:solidFill>
              <a:miter lim="800000"/>
              <a:headEnd/>
              <a:tailEnd/>
            </a:ln>
          </xdr:spPr>
        </xdr:sp>
        <xdr:sp macro="" textlink="">
          <xdr:nvSpPr>
            <xdr:cNvPr id="500" name="Oval 477">
              <a:extLst>
                <a:ext uri="{FF2B5EF4-FFF2-40B4-BE49-F238E27FC236}">
                  <a16:creationId xmlns:a16="http://schemas.microsoft.com/office/drawing/2014/main" id="{00000000-0008-0000-0000-0000F4010000}"/>
                </a:ext>
              </a:extLst>
            </xdr:cNvPr>
            <xdr:cNvSpPr>
              <a:spLocks noChangeArrowheads="1"/>
            </xdr:cNvSpPr>
          </xdr:nvSpPr>
          <xdr:spPr bwMode="auto">
            <a:xfrm>
              <a:off x="438" y="354"/>
              <a:ext cx="19" cy="17"/>
            </a:xfrm>
            <a:prstGeom prst="ellipse">
              <a:avLst/>
            </a:prstGeom>
            <a:grpFill/>
            <a:ln w="9525">
              <a:solidFill>
                <a:srgbClr val="000000"/>
              </a:solidFill>
              <a:round/>
              <a:headEnd/>
              <a:tailEnd/>
            </a:ln>
          </xdr:spPr>
        </xdr:sp>
        <xdr:sp macro="" textlink="">
          <xdr:nvSpPr>
            <xdr:cNvPr id="501" name="AutoShape 478">
              <a:extLst>
                <a:ext uri="{FF2B5EF4-FFF2-40B4-BE49-F238E27FC236}">
                  <a16:creationId xmlns:a16="http://schemas.microsoft.com/office/drawing/2014/main" id="{00000000-0008-0000-0000-0000F5010000}"/>
                </a:ext>
              </a:extLst>
            </xdr:cNvPr>
            <xdr:cNvSpPr>
              <a:spLocks noChangeArrowheads="1"/>
            </xdr:cNvSpPr>
          </xdr:nvSpPr>
          <xdr:spPr bwMode="auto">
            <a:xfrm flipH="1">
              <a:off x="484" y="329"/>
              <a:ext cx="12" cy="17"/>
            </a:xfrm>
            <a:prstGeom prst="flowChartDelay">
              <a:avLst/>
            </a:prstGeom>
            <a:grpFill/>
            <a:ln w="9525">
              <a:solidFill>
                <a:srgbClr val="000000"/>
              </a:solidFill>
              <a:miter lim="800000"/>
              <a:headEnd/>
              <a:tailEnd/>
            </a:ln>
          </xdr:spPr>
        </xdr:sp>
        <xdr:sp macro="" textlink="">
          <xdr:nvSpPr>
            <xdr:cNvPr id="510" name="AutoShape 479">
              <a:extLst>
                <a:ext uri="{FF2B5EF4-FFF2-40B4-BE49-F238E27FC236}">
                  <a16:creationId xmlns:a16="http://schemas.microsoft.com/office/drawing/2014/main" id="{00000000-0008-0000-0000-0000FE010000}"/>
                </a:ext>
              </a:extLst>
            </xdr:cNvPr>
            <xdr:cNvSpPr>
              <a:spLocks noChangeArrowheads="1"/>
            </xdr:cNvSpPr>
          </xdr:nvSpPr>
          <xdr:spPr bwMode="auto">
            <a:xfrm>
              <a:off x="402" y="380"/>
              <a:ext cx="12" cy="17"/>
            </a:xfrm>
            <a:prstGeom prst="flowChartDelay">
              <a:avLst/>
            </a:prstGeom>
            <a:grpFill/>
            <a:ln w="9525">
              <a:solidFill>
                <a:srgbClr val="000000"/>
              </a:solidFill>
              <a:miter lim="800000"/>
              <a:headEnd/>
              <a:tailEnd/>
            </a:ln>
          </xdr:spPr>
        </xdr:sp>
        <xdr:sp macro="" textlink="">
          <xdr:nvSpPr>
            <xdr:cNvPr id="511" name="AutoShape 480">
              <a:extLst>
                <a:ext uri="{FF2B5EF4-FFF2-40B4-BE49-F238E27FC236}">
                  <a16:creationId xmlns:a16="http://schemas.microsoft.com/office/drawing/2014/main" id="{00000000-0008-0000-0000-0000FF010000}"/>
                </a:ext>
              </a:extLst>
            </xdr:cNvPr>
            <xdr:cNvSpPr>
              <a:spLocks noChangeArrowheads="1"/>
            </xdr:cNvSpPr>
          </xdr:nvSpPr>
          <xdr:spPr bwMode="auto">
            <a:xfrm flipH="1">
              <a:off x="484" y="381"/>
              <a:ext cx="12" cy="17"/>
            </a:xfrm>
            <a:prstGeom prst="flowChartDelay">
              <a:avLst/>
            </a:prstGeom>
            <a:grpFill/>
            <a:ln w="9525">
              <a:solidFill>
                <a:srgbClr val="000000"/>
              </a:solidFill>
              <a:miter lim="800000"/>
              <a:headEnd/>
              <a:tailEnd/>
            </a:ln>
          </xdr:spPr>
        </xdr:sp>
      </xdr:grpSp>
    </xdr:grpSp>
    <xdr:clientData/>
  </xdr:twoCellAnchor>
  <xdr:twoCellAnchor>
    <xdr:from>
      <xdr:col>1</xdr:col>
      <xdr:colOff>226217</xdr:colOff>
      <xdr:row>76</xdr:row>
      <xdr:rowOff>0</xdr:rowOff>
    </xdr:from>
    <xdr:to>
      <xdr:col>1</xdr:col>
      <xdr:colOff>559592</xdr:colOff>
      <xdr:row>76</xdr:row>
      <xdr:rowOff>0</xdr:rowOff>
    </xdr:to>
    <xdr:grpSp>
      <xdr:nvGrpSpPr>
        <xdr:cNvPr id="547" name="Group 485">
          <a:extLst>
            <a:ext uri="{FF2B5EF4-FFF2-40B4-BE49-F238E27FC236}">
              <a16:creationId xmlns:a16="http://schemas.microsoft.com/office/drawing/2014/main" id="{00000000-0008-0000-0000-000023020000}"/>
            </a:ext>
          </a:extLst>
        </xdr:cNvPr>
        <xdr:cNvGrpSpPr>
          <a:grpSpLocks/>
        </xdr:cNvGrpSpPr>
      </xdr:nvGrpSpPr>
      <xdr:grpSpPr bwMode="auto">
        <a:xfrm rot="80297" flipH="1">
          <a:off x="824931" y="27344914"/>
          <a:ext cx="333375" cy="0"/>
          <a:chOff x="98" y="425"/>
          <a:chExt cx="93" cy="103"/>
        </a:xfrm>
      </xdr:grpSpPr>
      <xdr:sp macro="" textlink="">
        <xdr:nvSpPr>
          <xdr:cNvPr id="548" name="Freeform 486">
            <a:extLst>
              <a:ext uri="{FF2B5EF4-FFF2-40B4-BE49-F238E27FC236}">
                <a16:creationId xmlns:a16="http://schemas.microsoft.com/office/drawing/2014/main" id="{00000000-0008-0000-0000-000024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49" name="Freeform 487">
            <a:extLst>
              <a:ext uri="{FF2B5EF4-FFF2-40B4-BE49-F238E27FC236}">
                <a16:creationId xmlns:a16="http://schemas.microsoft.com/office/drawing/2014/main" id="{00000000-0008-0000-0000-000025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50" name="Freeform 488">
            <a:extLst>
              <a:ext uri="{FF2B5EF4-FFF2-40B4-BE49-F238E27FC236}">
                <a16:creationId xmlns:a16="http://schemas.microsoft.com/office/drawing/2014/main" id="{00000000-0008-0000-0000-000026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567840</xdr:colOff>
      <xdr:row>74</xdr:row>
      <xdr:rowOff>0</xdr:rowOff>
    </xdr:from>
    <xdr:to>
      <xdr:col>1</xdr:col>
      <xdr:colOff>843801</xdr:colOff>
      <xdr:row>75</xdr:row>
      <xdr:rowOff>0</xdr:rowOff>
    </xdr:to>
    <xdr:grpSp>
      <xdr:nvGrpSpPr>
        <xdr:cNvPr id="551" name="Group 466">
          <a:extLst>
            <a:ext uri="{FF2B5EF4-FFF2-40B4-BE49-F238E27FC236}">
              <a16:creationId xmlns:a16="http://schemas.microsoft.com/office/drawing/2014/main" id="{00000000-0008-0000-0000-000027020000}"/>
            </a:ext>
          </a:extLst>
        </xdr:cNvPr>
        <xdr:cNvGrpSpPr>
          <a:grpSpLocks/>
        </xdr:cNvGrpSpPr>
      </xdr:nvGrpSpPr>
      <xdr:grpSpPr bwMode="auto">
        <a:xfrm>
          <a:off x="1166554" y="26474057"/>
          <a:ext cx="275961" cy="370114"/>
          <a:chOff x="401" y="230"/>
          <a:chExt cx="95" cy="183"/>
        </a:xfrm>
      </xdr:grpSpPr>
      <xdr:grpSp>
        <xdr:nvGrpSpPr>
          <xdr:cNvPr id="552" name="Group 467">
            <a:extLst>
              <a:ext uri="{FF2B5EF4-FFF2-40B4-BE49-F238E27FC236}">
                <a16:creationId xmlns:a16="http://schemas.microsoft.com/office/drawing/2014/main" id="{00000000-0008-0000-0000-000028020000}"/>
              </a:ext>
            </a:extLst>
          </xdr:cNvPr>
          <xdr:cNvGrpSpPr>
            <a:grpSpLocks/>
          </xdr:cNvGrpSpPr>
        </xdr:nvGrpSpPr>
        <xdr:grpSpPr bwMode="auto">
          <a:xfrm>
            <a:off x="401" y="230"/>
            <a:ext cx="95" cy="183"/>
            <a:chOff x="390" y="230"/>
            <a:chExt cx="182" cy="165"/>
          </a:xfrm>
        </xdr:grpSpPr>
        <xdr:sp macro="" textlink="">
          <xdr:nvSpPr>
            <xdr:cNvPr id="582" name="Freeform 468">
              <a:extLst>
                <a:ext uri="{FF2B5EF4-FFF2-40B4-BE49-F238E27FC236}">
                  <a16:creationId xmlns:a16="http://schemas.microsoft.com/office/drawing/2014/main" id="{00000000-0008-0000-0000-00004602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583" name="Rectangle 469">
              <a:extLst>
                <a:ext uri="{FF2B5EF4-FFF2-40B4-BE49-F238E27FC236}">
                  <a16:creationId xmlns:a16="http://schemas.microsoft.com/office/drawing/2014/main" id="{00000000-0008-0000-0000-000047020000}"/>
                </a:ext>
              </a:extLst>
            </xdr:cNvPr>
            <xdr:cNvSpPr>
              <a:spLocks noChangeArrowheads="1"/>
            </xdr:cNvSpPr>
          </xdr:nvSpPr>
          <xdr:spPr bwMode="auto">
            <a:xfrm>
              <a:off x="391" y="237"/>
              <a:ext cx="180" cy="152"/>
            </a:xfrm>
            <a:prstGeom prst="rect">
              <a:avLst/>
            </a:prstGeom>
            <a:gradFill rotWithShape="0">
              <a:gsLst>
                <a:gs pos="0">
                  <a:srgbClr val="008B00"/>
                </a:gs>
                <a:gs pos="50000">
                  <a:srgbClr val="00FF00"/>
                </a:gs>
                <a:gs pos="100000">
                  <a:srgbClr val="008B00"/>
                </a:gs>
              </a:gsLst>
              <a:lin ang="0" scaled="1"/>
            </a:grad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584" name="Freeform 470">
              <a:extLst>
                <a:ext uri="{FF2B5EF4-FFF2-40B4-BE49-F238E27FC236}">
                  <a16:creationId xmlns:a16="http://schemas.microsoft.com/office/drawing/2014/main" id="{00000000-0008-0000-0000-00004802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568" name="Group 471">
            <a:extLst>
              <a:ext uri="{FF2B5EF4-FFF2-40B4-BE49-F238E27FC236}">
                <a16:creationId xmlns:a16="http://schemas.microsoft.com/office/drawing/2014/main" id="{00000000-0008-0000-0000-000038020000}"/>
              </a:ext>
            </a:extLst>
          </xdr:cNvPr>
          <xdr:cNvGrpSpPr>
            <a:grpSpLocks/>
          </xdr:cNvGrpSpPr>
        </xdr:nvGrpSpPr>
        <xdr:grpSpPr bwMode="auto">
          <a:xfrm>
            <a:off x="402" y="246"/>
            <a:ext cx="94" cy="152"/>
            <a:chOff x="402" y="246"/>
            <a:chExt cx="94" cy="152"/>
          </a:xfrm>
        </xdr:grpSpPr>
        <xdr:sp macro="" textlink="">
          <xdr:nvSpPr>
            <xdr:cNvPr id="569" name="Oval 472">
              <a:extLst>
                <a:ext uri="{FF2B5EF4-FFF2-40B4-BE49-F238E27FC236}">
                  <a16:creationId xmlns:a16="http://schemas.microsoft.com/office/drawing/2014/main" id="{00000000-0008-0000-0000-000039020000}"/>
                </a:ext>
              </a:extLst>
            </xdr:cNvPr>
            <xdr:cNvSpPr>
              <a:spLocks noChangeArrowheads="1"/>
            </xdr:cNvSpPr>
          </xdr:nvSpPr>
          <xdr:spPr bwMode="auto">
            <a:xfrm>
              <a:off x="439" y="246"/>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570" name="AutoShape 473">
              <a:extLst>
                <a:ext uri="{FF2B5EF4-FFF2-40B4-BE49-F238E27FC236}">
                  <a16:creationId xmlns:a16="http://schemas.microsoft.com/office/drawing/2014/main" id="{00000000-0008-0000-0000-00003A020000}"/>
                </a:ext>
              </a:extLst>
            </xdr:cNvPr>
            <xdr:cNvSpPr>
              <a:spLocks noChangeArrowheads="1"/>
            </xdr:cNvSpPr>
          </xdr:nvSpPr>
          <xdr:spPr bwMode="auto">
            <a:xfrm>
              <a:off x="402" y="274"/>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571" name="Oval 474">
              <a:extLst>
                <a:ext uri="{FF2B5EF4-FFF2-40B4-BE49-F238E27FC236}">
                  <a16:creationId xmlns:a16="http://schemas.microsoft.com/office/drawing/2014/main" id="{00000000-0008-0000-0000-00003B020000}"/>
                </a:ext>
              </a:extLst>
            </xdr:cNvPr>
            <xdr:cNvSpPr>
              <a:spLocks noChangeArrowheads="1"/>
            </xdr:cNvSpPr>
          </xdr:nvSpPr>
          <xdr:spPr bwMode="auto">
            <a:xfrm>
              <a:off x="439" y="300"/>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576" name="AutoShape 475">
              <a:extLst>
                <a:ext uri="{FF2B5EF4-FFF2-40B4-BE49-F238E27FC236}">
                  <a16:creationId xmlns:a16="http://schemas.microsoft.com/office/drawing/2014/main" id="{00000000-0008-0000-0000-000040020000}"/>
                </a:ext>
              </a:extLst>
            </xdr:cNvPr>
            <xdr:cNvSpPr>
              <a:spLocks noChangeArrowheads="1"/>
            </xdr:cNvSpPr>
          </xdr:nvSpPr>
          <xdr:spPr bwMode="auto">
            <a:xfrm flipH="1">
              <a:off x="484" y="275"/>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577" name="AutoShape 476">
              <a:extLst>
                <a:ext uri="{FF2B5EF4-FFF2-40B4-BE49-F238E27FC236}">
                  <a16:creationId xmlns:a16="http://schemas.microsoft.com/office/drawing/2014/main" id="{00000000-0008-0000-0000-000041020000}"/>
                </a:ext>
              </a:extLst>
            </xdr:cNvPr>
            <xdr:cNvSpPr>
              <a:spLocks noChangeArrowheads="1"/>
            </xdr:cNvSpPr>
          </xdr:nvSpPr>
          <xdr:spPr bwMode="auto">
            <a:xfrm>
              <a:off x="402"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578" name="Oval 477">
              <a:extLst>
                <a:ext uri="{FF2B5EF4-FFF2-40B4-BE49-F238E27FC236}">
                  <a16:creationId xmlns:a16="http://schemas.microsoft.com/office/drawing/2014/main" id="{00000000-0008-0000-0000-000042020000}"/>
                </a:ext>
              </a:extLst>
            </xdr:cNvPr>
            <xdr:cNvSpPr>
              <a:spLocks noChangeArrowheads="1"/>
            </xdr:cNvSpPr>
          </xdr:nvSpPr>
          <xdr:spPr bwMode="auto">
            <a:xfrm>
              <a:off x="438" y="354"/>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579" name="AutoShape 478">
              <a:extLst>
                <a:ext uri="{FF2B5EF4-FFF2-40B4-BE49-F238E27FC236}">
                  <a16:creationId xmlns:a16="http://schemas.microsoft.com/office/drawing/2014/main" id="{00000000-0008-0000-0000-000043020000}"/>
                </a:ext>
              </a:extLst>
            </xdr:cNvPr>
            <xdr:cNvSpPr>
              <a:spLocks noChangeArrowheads="1"/>
            </xdr:cNvSpPr>
          </xdr:nvSpPr>
          <xdr:spPr bwMode="auto">
            <a:xfrm flipH="1">
              <a:off x="484"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580" name="AutoShape 479">
              <a:extLst>
                <a:ext uri="{FF2B5EF4-FFF2-40B4-BE49-F238E27FC236}">
                  <a16:creationId xmlns:a16="http://schemas.microsoft.com/office/drawing/2014/main" id="{00000000-0008-0000-0000-000044020000}"/>
                </a:ext>
              </a:extLst>
            </xdr:cNvPr>
            <xdr:cNvSpPr>
              <a:spLocks noChangeArrowheads="1"/>
            </xdr:cNvSpPr>
          </xdr:nvSpPr>
          <xdr:spPr bwMode="auto">
            <a:xfrm>
              <a:off x="402" y="380"/>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581" name="AutoShape 480">
              <a:extLst>
                <a:ext uri="{FF2B5EF4-FFF2-40B4-BE49-F238E27FC236}">
                  <a16:creationId xmlns:a16="http://schemas.microsoft.com/office/drawing/2014/main" id="{00000000-0008-0000-0000-000045020000}"/>
                </a:ext>
              </a:extLst>
            </xdr:cNvPr>
            <xdr:cNvSpPr>
              <a:spLocks noChangeArrowheads="1"/>
            </xdr:cNvSpPr>
          </xdr:nvSpPr>
          <xdr:spPr bwMode="auto">
            <a:xfrm flipH="1">
              <a:off x="484" y="381"/>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grpSp>
    </xdr:grpSp>
    <xdr:clientData/>
  </xdr:twoCellAnchor>
  <xdr:twoCellAnchor>
    <xdr:from>
      <xdr:col>1</xdr:col>
      <xdr:colOff>848075</xdr:colOff>
      <xdr:row>74</xdr:row>
      <xdr:rowOff>23812</xdr:rowOff>
    </xdr:from>
    <xdr:to>
      <xdr:col>1</xdr:col>
      <xdr:colOff>1190975</xdr:colOff>
      <xdr:row>74</xdr:row>
      <xdr:rowOff>350065</xdr:rowOff>
    </xdr:to>
    <xdr:grpSp>
      <xdr:nvGrpSpPr>
        <xdr:cNvPr id="585" name="Group 481">
          <a:extLst>
            <a:ext uri="{FF2B5EF4-FFF2-40B4-BE49-F238E27FC236}">
              <a16:creationId xmlns:a16="http://schemas.microsoft.com/office/drawing/2014/main" id="{00000000-0008-0000-0000-000049020000}"/>
            </a:ext>
          </a:extLst>
        </xdr:cNvPr>
        <xdr:cNvGrpSpPr>
          <a:grpSpLocks/>
        </xdr:cNvGrpSpPr>
      </xdr:nvGrpSpPr>
      <xdr:grpSpPr bwMode="auto">
        <a:xfrm rot="10840149" flipH="1">
          <a:off x="1446789" y="26497869"/>
          <a:ext cx="342900" cy="326253"/>
          <a:chOff x="98" y="425"/>
          <a:chExt cx="93" cy="103"/>
        </a:xfrm>
      </xdr:grpSpPr>
      <xdr:sp macro="" textlink="">
        <xdr:nvSpPr>
          <xdr:cNvPr id="586" name="Freeform 482">
            <a:extLst>
              <a:ext uri="{FF2B5EF4-FFF2-40B4-BE49-F238E27FC236}">
                <a16:creationId xmlns:a16="http://schemas.microsoft.com/office/drawing/2014/main" id="{00000000-0008-0000-0000-00004A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87" name="Freeform 483">
            <a:extLst>
              <a:ext uri="{FF2B5EF4-FFF2-40B4-BE49-F238E27FC236}">
                <a16:creationId xmlns:a16="http://schemas.microsoft.com/office/drawing/2014/main" id="{00000000-0008-0000-0000-00004B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88" name="Freeform 484">
            <a:extLst>
              <a:ext uri="{FF2B5EF4-FFF2-40B4-BE49-F238E27FC236}">
                <a16:creationId xmlns:a16="http://schemas.microsoft.com/office/drawing/2014/main" id="{00000000-0008-0000-0000-00004C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589" name="Group 485">
          <a:extLst>
            <a:ext uri="{FF2B5EF4-FFF2-40B4-BE49-F238E27FC236}">
              <a16:creationId xmlns:a16="http://schemas.microsoft.com/office/drawing/2014/main" id="{00000000-0008-0000-0000-00004D020000}"/>
            </a:ext>
          </a:extLst>
        </xdr:cNvPr>
        <xdr:cNvGrpSpPr>
          <a:grpSpLocks/>
        </xdr:cNvGrpSpPr>
      </xdr:nvGrpSpPr>
      <xdr:grpSpPr bwMode="auto">
        <a:xfrm rot="80297" flipH="1">
          <a:off x="824931" y="26474057"/>
          <a:ext cx="333375" cy="310596"/>
          <a:chOff x="98" y="425"/>
          <a:chExt cx="93" cy="103"/>
        </a:xfrm>
      </xdr:grpSpPr>
      <xdr:sp macro="" textlink="">
        <xdr:nvSpPr>
          <xdr:cNvPr id="590" name="Freeform 486">
            <a:extLst>
              <a:ext uri="{FF2B5EF4-FFF2-40B4-BE49-F238E27FC236}">
                <a16:creationId xmlns:a16="http://schemas.microsoft.com/office/drawing/2014/main" id="{00000000-0008-0000-0000-00004E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91" name="Freeform 487">
            <a:extLst>
              <a:ext uri="{FF2B5EF4-FFF2-40B4-BE49-F238E27FC236}">
                <a16:creationId xmlns:a16="http://schemas.microsoft.com/office/drawing/2014/main" id="{00000000-0008-0000-0000-00004F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92" name="Freeform 488">
            <a:extLst>
              <a:ext uri="{FF2B5EF4-FFF2-40B4-BE49-F238E27FC236}">
                <a16:creationId xmlns:a16="http://schemas.microsoft.com/office/drawing/2014/main" id="{00000000-0008-0000-0000-000050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0</xdr:rowOff>
    </xdr:to>
    <xdr:grpSp>
      <xdr:nvGrpSpPr>
        <xdr:cNvPr id="593" name="Group 485">
          <a:extLst>
            <a:ext uri="{FF2B5EF4-FFF2-40B4-BE49-F238E27FC236}">
              <a16:creationId xmlns:a16="http://schemas.microsoft.com/office/drawing/2014/main" id="{00000000-0008-0000-0000-000051020000}"/>
            </a:ext>
          </a:extLst>
        </xdr:cNvPr>
        <xdr:cNvGrpSpPr>
          <a:grpSpLocks/>
        </xdr:cNvGrpSpPr>
      </xdr:nvGrpSpPr>
      <xdr:grpSpPr bwMode="auto">
        <a:xfrm rot="80297" flipH="1">
          <a:off x="824931" y="26474057"/>
          <a:ext cx="333375" cy="0"/>
          <a:chOff x="98" y="425"/>
          <a:chExt cx="93" cy="103"/>
        </a:xfrm>
      </xdr:grpSpPr>
      <xdr:sp macro="" textlink="">
        <xdr:nvSpPr>
          <xdr:cNvPr id="594" name="Freeform 486">
            <a:extLst>
              <a:ext uri="{FF2B5EF4-FFF2-40B4-BE49-F238E27FC236}">
                <a16:creationId xmlns:a16="http://schemas.microsoft.com/office/drawing/2014/main" id="{00000000-0008-0000-0000-000052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95" name="Freeform 487">
            <a:extLst>
              <a:ext uri="{FF2B5EF4-FFF2-40B4-BE49-F238E27FC236}">
                <a16:creationId xmlns:a16="http://schemas.microsoft.com/office/drawing/2014/main" id="{00000000-0008-0000-0000-000053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96" name="Freeform 488">
            <a:extLst>
              <a:ext uri="{FF2B5EF4-FFF2-40B4-BE49-F238E27FC236}">
                <a16:creationId xmlns:a16="http://schemas.microsoft.com/office/drawing/2014/main" id="{00000000-0008-0000-0000-000054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597" name="Group 485">
          <a:extLst>
            <a:ext uri="{FF2B5EF4-FFF2-40B4-BE49-F238E27FC236}">
              <a16:creationId xmlns:a16="http://schemas.microsoft.com/office/drawing/2014/main" id="{00000000-0008-0000-0000-000055020000}"/>
            </a:ext>
          </a:extLst>
        </xdr:cNvPr>
        <xdr:cNvGrpSpPr>
          <a:grpSpLocks/>
        </xdr:cNvGrpSpPr>
      </xdr:nvGrpSpPr>
      <xdr:grpSpPr bwMode="auto">
        <a:xfrm rot="80297" flipH="1">
          <a:off x="824931" y="26474057"/>
          <a:ext cx="333375" cy="310596"/>
          <a:chOff x="98" y="425"/>
          <a:chExt cx="93" cy="103"/>
        </a:xfrm>
      </xdr:grpSpPr>
      <xdr:sp macro="" textlink="">
        <xdr:nvSpPr>
          <xdr:cNvPr id="598" name="Freeform 486">
            <a:extLst>
              <a:ext uri="{FF2B5EF4-FFF2-40B4-BE49-F238E27FC236}">
                <a16:creationId xmlns:a16="http://schemas.microsoft.com/office/drawing/2014/main" id="{00000000-0008-0000-0000-000056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599" name="Freeform 487">
            <a:extLst>
              <a:ext uri="{FF2B5EF4-FFF2-40B4-BE49-F238E27FC236}">
                <a16:creationId xmlns:a16="http://schemas.microsoft.com/office/drawing/2014/main" id="{00000000-0008-0000-0000-000057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00" name="Freeform 488">
            <a:extLst>
              <a:ext uri="{FF2B5EF4-FFF2-40B4-BE49-F238E27FC236}">
                <a16:creationId xmlns:a16="http://schemas.microsoft.com/office/drawing/2014/main" id="{00000000-0008-0000-0000-000058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0</xdr:rowOff>
    </xdr:to>
    <xdr:grpSp>
      <xdr:nvGrpSpPr>
        <xdr:cNvPr id="618" name="Group 485">
          <a:extLst>
            <a:ext uri="{FF2B5EF4-FFF2-40B4-BE49-F238E27FC236}">
              <a16:creationId xmlns:a16="http://schemas.microsoft.com/office/drawing/2014/main" id="{00000000-0008-0000-0000-00006A020000}"/>
            </a:ext>
          </a:extLst>
        </xdr:cNvPr>
        <xdr:cNvGrpSpPr>
          <a:grpSpLocks/>
        </xdr:cNvGrpSpPr>
      </xdr:nvGrpSpPr>
      <xdr:grpSpPr bwMode="auto">
        <a:xfrm rot="80297" flipH="1">
          <a:off x="824931" y="26474057"/>
          <a:ext cx="333375" cy="0"/>
          <a:chOff x="98" y="425"/>
          <a:chExt cx="93" cy="103"/>
        </a:xfrm>
      </xdr:grpSpPr>
      <xdr:sp macro="" textlink="">
        <xdr:nvSpPr>
          <xdr:cNvPr id="619" name="Freeform 486">
            <a:extLst>
              <a:ext uri="{FF2B5EF4-FFF2-40B4-BE49-F238E27FC236}">
                <a16:creationId xmlns:a16="http://schemas.microsoft.com/office/drawing/2014/main" id="{00000000-0008-0000-0000-00006B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20" name="Freeform 487">
            <a:extLst>
              <a:ext uri="{FF2B5EF4-FFF2-40B4-BE49-F238E27FC236}">
                <a16:creationId xmlns:a16="http://schemas.microsoft.com/office/drawing/2014/main" id="{00000000-0008-0000-0000-00006C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21" name="Freeform 488">
            <a:extLst>
              <a:ext uri="{FF2B5EF4-FFF2-40B4-BE49-F238E27FC236}">
                <a16:creationId xmlns:a16="http://schemas.microsoft.com/office/drawing/2014/main" id="{00000000-0008-0000-0000-00006D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622" name="Group 485">
          <a:extLst>
            <a:ext uri="{FF2B5EF4-FFF2-40B4-BE49-F238E27FC236}">
              <a16:creationId xmlns:a16="http://schemas.microsoft.com/office/drawing/2014/main" id="{00000000-0008-0000-0000-00006E020000}"/>
            </a:ext>
          </a:extLst>
        </xdr:cNvPr>
        <xdr:cNvGrpSpPr>
          <a:grpSpLocks/>
        </xdr:cNvGrpSpPr>
      </xdr:nvGrpSpPr>
      <xdr:grpSpPr bwMode="auto">
        <a:xfrm rot="80297" flipH="1">
          <a:off x="824931" y="26474057"/>
          <a:ext cx="333375" cy="310596"/>
          <a:chOff x="98" y="425"/>
          <a:chExt cx="93" cy="103"/>
        </a:xfrm>
      </xdr:grpSpPr>
      <xdr:sp macro="" textlink="">
        <xdr:nvSpPr>
          <xdr:cNvPr id="623" name="Freeform 486">
            <a:extLst>
              <a:ext uri="{FF2B5EF4-FFF2-40B4-BE49-F238E27FC236}">
                <a16:creationId xmlns:a16="http://schemas.microsoft.com/office/drawing/2014/main" id="{00000000-0008-0000-0000-00006F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24" name="Freeform 487">
            <a:extLst>
              <a:ext uri="{FF2B5EF4-FFF2-40B4-BE49-F238E27FC236}">
                <a16:creationId xmlns:a16="http://schemas.microsoft.com/office/drawing/2014/main" id="{00000000-0008-0000-0000-000070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26" name="Freeform 488">
            <a:extLst>
              <a:ext uri="{FF2B5EF4-FFF2-40B4-BE49-F238E27FC236}">
                <a16:creationId xmlns:a16="http://schemas.microsoft.com/office/drawing/2014/main" id="{00000000-0008-0000-0000-000072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0</xdr:rowOff>
    </xdr:to>
    <xdr:grpSp>
      <xdr:nvGrpSpPr>
        <xdr:cNvPr id="627" name="Group 485">
          <a:extLst>
            <a:ext uri="{FF2B5EF4-FFF2-40B4-BE49-F238E27FC236}">
              <a16:creationId xmlns:a16="http://schemas.microsoft.com/office/drawing/2014/main" id="{00000000-0008-0000-0000-000073020000}"/>
            </a:ext>
          </a:extLst>
        </xdr:cNvPr>
        <xdr:cNvGrpSpPr>
          <a:grpSpLocks/>
        </xdr:cNvGrpSpPr>
      </xdr:nvGrpSpPr>
      <xdr:grpSpPr bwMode="auto">
        <a:xfrm rot="80297" flipH="1">
          <a:off x="824931" y="26474057"/>
          <a:ext cx="333375" cy="0"/>
          <a:chOff x="98" y="425"/>
          <a:chExt cx="93" cy="103"/>
        </a:xfrm>
      </xdr:grpSpPr>
      <xdr:sp macro="" textlink="">
        <xdr:nvSpPr>
          <xdr:cNvPr id="628" name="Freeform 486">
            <a:extLst>
              <a:ext uri="{FF2B5EF4-FFF2-40B4-BE49-F238E27FC236}">
                <a16:creationId xmlns:a16="http://schemas.microsoft.com/office/drawing/2014/main" id="{00000000-0008-0000-0000-000074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29" name="Freeform 487">
            <a:extLst>
              <a:ext uri="{FF2B5EF4-FFF2-40B4-BE49-F238E27FC236}">
                <a16:creationId xmlns:a16="http://schemas.microsoft.com/office/drawing/2014/main" id="{00000000-0008-0000-0000-000075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30" name="Freeform 488">
            <a:extLst>
              <a:ext uri="{FF2B5EF4-FFF2-40B4-BE49-F238E27FC236}">
                <a16:creationId xmlns:a16="http://schemas.microsoft.com/office/drawing/2014/main" id="{00000000-0008-0000-0000-000076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631" name="Group 485">
          <a:extLst>
            <a:ext uri="{FF2B5EF4-FFF2-40B4-BE49-F238E27FC236}">
              <a16:creationId xmlns:a16="http://schemas.microsoft.com/office/drawing/2014/main" id="{00000000-0008-0000-0000-000077020000}"/>
            </a:ext>
          </a:extLst>
        </xdr:cNvPr>
        <xdr:cNvGrpSpPr>
          <a:grpSpLocks/>
        </xdr:cNvGrpSpPr>
      </xdr:nvGrpSpPr>
      <xdr:grpSpPr bwMode="auto">
        <a:xfrm rot="80297" flipH="1">
          <a:off x="824931" y="26474057"/>
          <a:ext cx="333375" cy="310596"/>
          <a:chOff x="98" y="425"/>
          <a:chExt cx="93" cy="103"/>
        </a:xfrm>
      </xdr:grpSpPr>
      <xdr:sp macro="" textlink="">
        <xdr:nvSpPr>
          <xdr:cNvPr id="632" name="Freeform 486">
            <a:extLst>
              <a:ext uri="{FF2B5EF4-FFF2-40B4-BE49-F238E27FC236}">
                <a16:creationId xmlns:a16="http://schemas.microsoft.com/office/drawing/2014/main" id="{00000000-0008-0000-0000-000078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33" name="Freeform 487">
            <a:extLst>
              <a:ext uri="{FF2B5EF4-FFF2-40B4-BE49-F238E27FC236}">
                <a16:creationId xmlns:a16="http://schemas.microsoft.com/office/drawing/2014/main" id="{00000000-0008-0000-0000-000079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34" name="Freeform 488">
            <a:extLst>
              <a:ext uri="{FF2B5EF4-FFF2-40B4-BE49-F238E27FC236}">
                <a16:creationId xmlns:a16="http://schemas.microsoft.com/office/drawing/2014/main" id="{00000000-0008-0000-0000-00007A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0</xdr:rowOff>
    </xdr:to>
    <xdr:grpSp>
      <xdr:nvGrpSpPr>
        <xdr:cNvPr id="635" name="Group 485">
          <a:extLst>
            <a:ext uri="{FF2B5EF4-FFF2-40B4-BE49-F238E27FC236}">
              <a16:creationId xmlns:a16="http://schemas.microsoft.com/office/drawing/2014/main" id="{00000000-0008-0000-0000-00007B020000}"/>
            </a:ext>
          </a:extLst>
        </xdr:cNvPr>
        <xdr:cNvGrpSpPr>
          <a:grpSpLocks/>
        </xdr:cNvGrpSpPr>
      </xdr:nvGrpSpPr>
      <xdr:grpSpPr bwMode="auto">
        <a:xfrm rot="80297" flipH="1">
          <a:off x="824931" y="26474057"/>
          <a:ext cx="333375" cy="0"/>
          <a:chOff x="98" y="425"/>
          <a:chExt cx="93" cy="103"/>
        </a:xfrm>
      </xdr:grpSpPr>
      <xdr:sp macro="" textlink="">
        <xdr:nvSpPr>
          <xdr:cNvPr id="636" name="Freeform 486">
            <a:extLst>
              <a:ext uri="{FF2B5EF4-FFF2-40B4-BE49-F238E27FC236}">
                <a16:creationId xmlns:a16="http://schemas.microsoft.com/office/drawing/2014/main" id="{00000000-0008-0000-0000-00007C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37" name="Freeform 487">
            <a:extLst>
              <a:ext uri="{FF2B5EF4-FFF2-40B4-BE49-F238E27FC236}">
                <a16:creationId xmlns:a16="http://schemas.microsoft.com/office/drawing/2014/main" id="{00000000-0008-0000-0000-00007D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38" name="Freeform 488">
            <a:extLst>
              <a:ext uri="{FF2B5EF4-FFF2-40B4-BE49-F238E27FC236}">
                <a16:creationId xmlns:a16="http://schemas.microsoft.com/office/drawing/2014/main" id="{00000000-0008-0000-0000-00007E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639" name="Group 485">
          <a:extLst>
            <a:ext uri="{FF2B5EF4-FFF2-40B4-BE49-F238E27FC236}">
              <a16:creationId xmlns:a16="http://schemas.microsoft.com/office/drawing/2014/main" id="{00000000-0008-0000-0000-00007F020000}"/>
            </a:ext>
          </a:extLst>
        </xdr:cNvPr>
        <xdr:cNvGrpSpPr>
          <a:grpSpLocks/>
        </xdr:cNvGrpSpPr>
      </xdr:nvGrpSpPr>
      <xdr:grpSpPr bwMode="auto">
        <a:xfrm rot="80297" flipH="1">
          <a:off x="824931" y="26474057"/>
          <a:ext cx="333375" cy="310596"/>
          <a:chOff x="98" y="425"/>
          <a:chExt cx="93" cy="103"/>
        </a:xfrm>
      </xdr:grpSpPr>
      <xdr:sp macro="" textlink="">
        <xdr:nvSpPr>
          <xdr:cNvPr id="640" name="Freeform 486">
            <a:extLst>
              <a:ext uri="{FF2B5EF4-FFF2-40B4-BE49-F238E27FC236}">
                <a16:creationId xmlns:a16="http://schemas.microsoft.com/office/drawing/2014/main" id="{00000000-0008-0000-0000-000080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41" name="Freeform 487">
            <a:extLst>
              <a:ext uri="{FF2B5EF4-FFF2-40B4-BE49-F238E27FC236}">
                <a16:creationId xmlns:a16="http://schemas.microsoft.com/office/drawing/2014/main" id="{00000000-0008-0000-0000-000081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42" name="Freeform 488">
            <a:extLst>
              <a:ext uri="{FF2B5EF4-FFF2-40B4-BE49-F238E27FC236}">
                <a16:creationId xmlns:a16="http://schemas.microsoft.com/office/drawing/2014/main" id="{00000000-0008-0000-0000-000082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0</xdr:rowOff>
    </xdr:to>
    <xdr:grpSp>
      <xdr:nvGrpSpPr>
        <xdr:cNvPr id="643" name="Group 485">
          <a:extLst>
            <a:ext uri="{FF2B5EF4-FFF2-40B4-BE49-F238E27FC236}">
              <a16:creationId xmlns:a16="http://schemas.microsoft.com/office/drawing/2014/main" id="{00000000-0008-0000-0000-000083020000}"/>
            </a:ext>
          </a:extLst>
        </xdr:cNvPr>
        <xdr:cNvGrpSpPr>
          <a:grpSpLocks/>
        </xdr:cNvGrpSpPr>
      </xdr:nvGrpSpPr>
      <xdr:grpSpPr bwMode="auto">
        <a:xfrm rot="80297" flipH="1">
          <a:off x="824931" y="26474057"/>
          <a:ext cx="333375" cy="0"/>
          <a:chOff x="98" y="425"/>
          <a:chExt cx="93" cy="103"/>
        </a:xfrm>
      </xdr:grpSpPr>
      <xdr:sp macro="" textlink="">
        <xdr:nvSpPr>
          <xdr:cNvPr id="644" name="Freeform 486">
            <a:extLst>
              <a:ext uri="{FF2B5EF4-FFF2-40B4-BE49-F238E27FC236}">
                <a16:creationId xmlns:a16="http://schemas.microsoft.com/office/drawing/2014/main" id="{00000000-0008-0000-0000-000084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45" name="Freeform 487">
            <a:extLst>
              <a:ext uri="{FF2B5EF4-FFF2-40B4-BE49-F238E27FC236}">
                <a16:creationId xmlns:a16="http://schemas.microsoft.com/office/drawing/2014/main" id="{00000000-0008-0000-0000-000085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46" name="Freeform 488">
            <a:extLst>
              <a:ext uri="{FF2B5EF4-FFF2-40B4-BE49-F238E27FC236}">
                <a16:creationId xmlns:a16="http://schemas.microsoft.com/office/drawing/2014/main" id="{00000000-0008-0000-0000-000086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647" name="Group 485">
          <a:extLst>
            <a:ext uri="{FF2B5EF4-FFF2-40B4-BE49-F238E27FC236}">
              <a16:creationId xmlns:a16="http://schemas.microsoft.com/office/drawing/2014/main" id="{00000000-0008-0000-0000-000087020000}"/>
            </a:ext>
          </a:extLst>
        </xdr:cNvPr>
        <xdr:cNvGrpSpPr>
          <a:grpSpLocks/>
        </xdr:cNvGrpSpPr>
      </xdr:nvGrpSpPr>
      <xdr:grpSpPr bwMode="auto">
        <a:xfrm rot="80297" flipH="1">
          <a:off x="824931" y="26474057"/>
          <a:ext cx="333375" cy="310596"/>
          <a:chOff x="98" y="425"/>
          <a:chExt cx="93" cy="103"/>
        </a:xfrm>
      </xdr:grpSpPr>
      <xdr:sp macro="" textlink="">
        <xdr:nvSpPr>
          <xdr:cNvPr id="648" name="Freeform 486">
            <a:extLst>
              <a:ext uri="{FF2B5EF4-FFF2-40B4-BE49-F238E27FC236}">
                <a16:creationId xmlns:a16="http://schemas.microsoft.com/office/drawing/2014/main" id="{00000000-0008-0000-0000-000088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49" name="Freeform 487">
            <a:extLst>
              <a:ext uri="{FF2B5EF4-FFF2-40B4-BE49-F238E27FC236}">
                <a16:creationId xmlns:a16="http://schemas.microsoft.com/office/drawing/2014/main" id="{00000000-0008-0000-0000-000089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65" name="Freeform 488">
            <a:extLst>
              <a:ext uri="{FF2B5EF4-FFF2-40B4-BE49-F238E27FC236}">
                <a16:creationId xmlns:a16="http://schemas.microsoft.com/office/drawing/2014/main" id="{00000000-0008-0000-0000-000099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0</xdr:rowOff>
    </xdr:to>
    <xdr:grpSp>
      <xdr:nvGrpSpPr>
        <xdr:cNvPr id="666" name="Group 485">
          <a:extLst>
            <a:ext uri="{FF2B5EF4-FFF2-40B4-BE49-F238E27FC236}">
              <a16:creationId xmlns:a16="http://schemas.microsoft.com/office/drawing/2014/main" id="{00000000-0008-0000-0000-00009A020000}"/>
            </a:ext>
          </a:extLst>
        </xdr:cNvPr>
        <xdr:cNvGrpSpPr>
          <a:grpSpLocks/>
        </xdr:cNvGrpSpPr>
      </xdr:nvGrpSpPr>
      <xdr:grpSpPr bwMode="auto">
        <a:xfrm rot="80297" flipH="1">
          <a:off x="824931" y="26474057"/>
          <a:ext cx="333375" cy="0"/>
          <a:chOff x="98" y="425"/>
          <a:chExt cx="93" cy="103"/>
        </a:xfrm>
      </xdr:grpSpPr>
      <xdr:sp macro="" textlink="">
        <xdr:nvSpPr>
          <xdr:cNvPr id="667" name="Freeform 486">
            <a:extLst>
              <a:ext uri="{FF2B5EF4-FFF2-40B4-BE49-F238E27FC236}">
                <a16:creationId xmlns:a16="http://schemas.microsoft.com/office/drawing/2014/main" id="{00000000-0008-0000-0000-00009B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68" name="Freeform 487">
            <a:extLst>
              <a:ext uri="{FF2B5EF4-FFF2-40B4-BE49-F238E27FC236}">
                <a16:creationId xmlns:a16="http://schemas.microsoft.com/office/drawing/2014/main" id="{00000000-0008-0000-0000-00009C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669" name="Freeform 488">
            <a:extLst>
              <a:ext uri="{FF2B5EF4-FFF2-40B4-BE49-F238E27FC236}">
                <a16:creationId xmlns:a16="http://schemas.microsoft.com/office/drawing/2014/main" id="{00000000-0008-0000-0000-00009D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670" name="Group 485">
          <a:extLst>
            <a:ext uri="{FF2B5EF4-FFF2-40B4-BE49-F238E27FC236}">
              <a16:creationId xmlns:a16="http://schemas.microsoft.com/office/drawing/2014/main" id="{00000000-0008-0000-0000-00009E020000}"/>
            </a:ext>
          </a:extLst>
        </xdr:cNvPr>
        <xdr:cNvGrpSpPr>
          <a:grpSpLocks/>
        </xdr:cNvGrpSpPr>
      </xdr:nvGrpSpPr>
      <xdr:grpSpPr bwMode="auto">
        <a:xfrm rot="80297" flipH="1">
          <a:off x="824931" y="26474057"/>
          <a:ext cx="333375" cy="310596"/>
          <a:chOff x="98" y="425"/>
          <a:chExt cx="93" cy="103"/>
        </a:xfrm>
      </xdr:grpSpPr>
      <xdr:sp macro="" textlink="">
        <xdr:nvSpPr>
          <xdr:cNvPr id="671" name="Freeform 486">
            <a:extLst>
              <a:ext uri="{FF2B5EF4-FFF2-40B4-BE49-F238E27FC236}">
                <a16:creationId xmlns:a16="http://schemas.microsoft.com/office/drawing/2014/main" id="{00000000-0008-0000-0000-00009F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04" name="Freeform 487">
            <a:extLst>
              <a:ext uri="{FF2B5EF4-FFF2-40B4-BE49-F238E27FC236}">
                <a16:creationId xmlns:a16="http://schemas.microsoft.com/office/drawing/2014/main" id="{00000000-0008-0000-0000-0000C0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05" name="Freeform 488">
            <a:extLst>
              <a:ext uri="{FF2B5EF4-FFF2-40B4-BE49-F238E27FC236}">
                <a16:creationId xmlns:a16="http://schemas.microsoft.com/office/drawing/2014/main" id="{00000000-0008-0000-0000-0000C1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0</xdr:rowOff>
    </xdr:to>
    <xdr:grpSp>
      <xdr:nvGrpSpPr>
        <xdr:cNvPr id="706" name="Group 485">
          <a:extLst>
            <a:ext uri="{FF2B5EF4-FFF2-40B4-BE49-F238E27FC236}">
              <a16:creationId xmlns:a16="http://schemas.microsoft.com/office/drawing/2014/main" id="{00000000-0008-0000-0000-0000C2020000}"/>
            </a:ext>
          </a:extLst>
        </xdr:cNvPr>
        <xdr:cNvGrpSpPr>
          <a:grpSpLocks/>
        </xdr:cNvGrpSpPr>
      </xdr:nvGrpSpPr>
      <xdr:grpSpPr bwMode="auto">
        <a:xfrm rot="80297" flipH="1">
          <a:off x="824931" y="26474057"/>
          <a:ext cx="333375" cy="0"/>
          <a:chOff x="98" y="425"/>
          <a:chExt cx="93" cy="103"/>
        </a:xfrm>
      </xdr:grpSpPr>
      <xdr:sp macro="" textlink="">
        <xdr:nvSpPr>
          <xdr:cNvPr id="707" name="Freeform 486">
            <a:extLst>
              <a:ext uri="{FF2B5EF4-FFF2-40B4-BE49-F238E27FC236}">
                <a16:creationId xmlns:a16="http://schemas.microsoft.com/office/drawing/2014/main" id="{00000000-0008-0000-0000-0000C3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08" name="Freeform 487">
            <a:extLst>
              <a:ext uri="{FF2B5EF4-FFF2-40B4-BE49-F238E27FC236}">
                <a16:creationId xmlns:a16="http://schemas.microsoft.com/office/drawing/2014/main" id="{00000000-0008-0000-0000-0000C4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09" name="Freeform 488">
            <a:extLst>
              <a:ext uri="{FF2B5EF4-FFF2-40B4-BE49-F238E27FC236}">
                <a16:creationId xmlns:a16="http://schemas.microsoft.com/office/drawing/2014/main" id="{00000000-0008-0000-0000-0000C5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74</xdr:row>
      <xdr:rowOff>0</xdr:rowOff>
    </xdr:from>
    <xdr:to>
      <xdr:col>1</xdr:col>
      <xdr:colOff>559592</xdr:colOff>
      <xdr:row>74</xdr:row>
      <xdr:rowOff>310596</xdr:rowOff>
    </xdr:to>
    <xdr:grpSp>
      <xdr:nvGrpSpPr>
        <xdr:cNvPr id="710" name="Group 485">
          <a:extLst>
            <a:ext uri="{FF2B5EF4-FFF2-40B4-BE49-F238E27FC236}">
              <a16:creationId xmlns:a16="http://schemas.microsoft.com/office/drawing/2014/main" id="{00000000-0008-0000-0000-0000C6020000}"/>
            </a:ext>
          </a:extLst>
        </xdr:cNvPr>
        <xdr:cNvGrpSpPr>
          <a:grpSpLocks/>
        </xdr:cNvGrpSpPr>
      </xdr:nvGrpSpPr>
      <xdr:grpSpPr bwMode="auto">
        <a:xfrm rot="80297" flipH="1">
          <a:off x="824931" y="26474057"/>
          <a:ext cx="333375" cy="310596"/>
          <a:chOff x="98" y="425"/>
          <a:chExt cx="93" cy="103"/>
        </a:xfrm>
      </xdr:grpSpPr>
      <xdr:sp macro="" textlink="">
        <xdr:nvSpPr>
          <xdr:cNvPr id="711" name="Freeform 486">
            <a:extLst>
              <a:ext uri="{FF2B5EF4-FFF2-40B4-BE49-F238E27FC236}">
                <a16:creationId xmlns:a16="http://schemas.microsoft.com/office/drawing/2014/main" id="{00000000-0008-0000-0000-0000C7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12" name="Freeform 487">
            <a:extLst>
              <a:ext uri="{FF2B5EF4-FFF2-40B4-BE49-F238E27FC236}">
                <a16:creationId xmlns:a16="http://schemas.microsoft.com/office/drawing/2014/main" id="{00000000-0008-0000-0000-0000C8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13" name="Freeform 488">
            <a:extLst>
              <a:ext uri="{FF2B5EF4-FFF2-40B4-BE49-F238E27FC236}">
                <a16:creationId xmlns:a16="http://schemas.microsoft.com/office/drawing/2014/main" id="{00000000-0008-0000-0000-0000C9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563563</xdr:colOff>
      <xdr:row>73</xdr:row>
      <xdr:rowOff>0</xdr:rowOff>
    </xdr:from>
    <xdr:to>
      <xdr:col>1</xdr:col>
      <xdr:colOff>839524</xdr:colOff>
      <xdr:row>74</xdr:row>
      <xdr:rowOff>0</xdr:rowOff>
    </xdr:to>
    <xdr:grpSp>
      <xdr:nvGrpSpPr>
        <xdr:cNvPr id="714" name="Group 466">
          <a:extLst>
            <a:ext uri="{FF2B5EF4-FFF2-40B4-BE49-F238E27FC236}">
              <a16:creationId xmlns:a16="http://schemas.microsoft.com/office/drawing/2014/main" id="{00000000-0008-0000-0000-0000CA020000}"/>
            </a:ext>
          </a:extLst>
        </xdr:cNvPr>
        <xdr:cNvGrpSpPr>
          <a:grpSpLocks/>
        </xdr:cNvGrpSpPr>
      </xdr:nvGrpSpPr>
      <xdr:grpSpPr bwMode="auto">
        <a:xfrm>
          <a:off x="1162277" y="26191029"/>
          <a:ext cx="275961" cy="283028"/>
          <a:chOff x="401" y="230"/>
          <a:chExt cx="95" cy="183"/>
        </a:xfrm>
        <a:solidFill>
          <a:srgbClr val="FFC000"/>
        </a:solidFill>
      </xdr:grpSpPr>
      <xdr:grpSp>
        <xdr:nvGrpSpPr>
          <xdr:cNvPr id="715" name="Group 467">
            <a:extLst>
              <a:ext uri="{FF2B5EF4-FFF2-40B4-BE49-F238E27FC236}">
                <a16:creationId xmlns:a16="http://schemas.microsoft.com/office/drawing/2014/main" id="{00000000-0008-0000-0000-0000CB020000}"/>
              </a:ext>
            </a:extLst>
          </xdr:cNvPr>
          <xdr:cNvGrpSpPr>
            <a:grpSpLocks/>
          </xdr:cNvGrpSpPr>
        </xdr:nvGrpSpPr>
        <xdr:grpSpPr bwMode="auto">
          <a:xfrm>
            <a:off x="401" y="230"/>
            <a:ext cx="95" cy="183"/>
            <a:chOff x="390" y="230"/>
            <a:chExt cx="182" cy="165"/>
          </a:xfrm>
          <a:grpFill/>
        </xdr:grpSpPr>
        <xdr:sp macro="" textlink="">
          <xdr:nvSpPr>
            <xdr:cNvPr id="726" name="Freeform 468">
              <a:extLst>
                <a:ext uri="{FF2B5EF4-FFF2-40B4-BE49-F238E27FC236}">
                  <a16:creationId xmlns:a16="http://schemas.microsoft.com/office/drawing/2014/main" id="{00000000-0008-0000-0000-0000D602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727" name="Rectangle 469">
              <a:extLst>
                <a:ext uri="{FF2B5EF4-FFF2-40B4-BE49-F238E27FC236}">
                  <a16:creationId xmlns:a16="http://schemas.microsoft.com/office/drawing/2014/main" id="{00000000-0008-0000-0000-0000D7020000}"/>
                </a:ext>
              </a:extLst>
            </xdr:cNvPr>
            <xdr:cNvSpPr>
              <a:spLocks noChangeArrowheads="1"/>
            </xdr:cNvSpPr>
          </xdr:nvSpPr>
          <xdr:spPr bwMode="auto">
            <a:xfrm>
              <a:off x="391" y="237"/>
              <a:ext cx="180" cy="152"/>
            </a:xfrm>
            <a:prstGeom prst="rect">
              <a:avLst/>
            </a:prstGeom>
            <a:grp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728" name="Freeform 470">
              <a:extLst>
                <a:ext uri="{FF2B5EF4-FFF2-40B4-BE49-F238E27FC236}">
                  <a16:creationId xmlns:a16="http://schemas.microsoft.com/office/drawing/2014/main" id="{00000000-0008-0000-0000-0000D802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716" name="Group 471">
            <a:extLst>
              <a:ext uri="{FF2B5EF4-FFF2-40B4-BE49-F238E27FC236}">
                <a16:creationId xmlns:a16="http://schemas.microsoft.com/office/drawing/2014/main" id="{00000000-0008-0000-0000-0000CC020000}"/>
              </a:ext>
            </a:extLst>
          </xdr:cNvPr>
          <xdr:cNvGrpSpPr>
            <a:grpSpLocks/>
          </xdr:cNvGrpSpPr>
        </xdr:nvGrpSpPr>
        <xdr:grpSpPr bwMode="auto">
          <a:xfrm>
            <a:off x="402" y="246"/>
            <a:ext cx="94" cy="152"/>
            <a:chOff x="402" y="246"/>
            <a:chExt cx="94" cy="152"/>
          </a:xfrm>
          <a:grpFill/>
        </xdr:grpSpPr>
        <xdr:sp macro="" textlink="">
          <xdr:nvSpPr>
            <xdr:cNvPr id="717" name="Oval 472">
              <a:extLst>
                <a:ext uri="{FF2B5EF4-FFF2-40B4-BE49-F238E27FC236}">
                  <a16:creationId xmlns:a16="http://schemas.microsoft.com/office/drawing/2014/main" id="{00000000-0008-0000-0000-0000CD020000}"/>
                </a:ext>
              </a:extLst>
            </xdr:cNvPr>
            <xdr:cNvSpPr>
              <a:spLocks noChangeArrowheads="1"/>
            </xdr:cNvSpPr>
          </xdr:nvSpPr>
          <xdr:spPr bwMode="auto">
            <a:xfrm>
              <a:off x="439" y="246"/>
              <a:ext cx="19" cy="17"/>
            </a:xfrm>
            <a:prstGeom prst="ellipse">
              <a:avLst/>
            </a:prstGeom>
            <a:grpFill/>
            <a:ln w="9525">
              <a:solidFill>
                <a:srgbClr val="000000"/>
              </a:solidFill>
              <a:round/>
              <a:headEnd/>
              <a:tailEnd/>
            </a:ln>
          </xdr:spPr>
        </xdr:sp>
        <xdr:sp macro="" textlink="">
          <xdr:nvSpPr>
            <xdr:cNvPr id="718" name="AutoShape 473">
              <a:extLst>
                <a:ext uri="{FF2B5EF4-FFF2-40B4-BE49-F238E27FC236}">
                  <a16:creationId xmlns:a16="http://schemas.microsoft.com/office/drawing/2014/main" id="{00000000-0008-0000-0000-0000CE020000}"/>
                </a:ext>
              </a:extLst>
            </xdr:cNvPr>
            <xdr:cNvSpPr>
              <a:spLocks noChangeArrowheads="1"/>
            </xdr:cNvSpPr>
          </xdr:nvSpPr>
          <xdr:spPr bwMode="auto">
            <a:xfrm>
              <a:off x="402" y="274"/>
              <a:ext cx="12" cy="17"/>
            </a:xfrm>
            <a:prstGeom prst="flowChartDelay">
              <a:avLst/>
            </a:prstGeom>
            <a:grpFill/>
            <a:ln w="9525">
              <a:solidFill>
                <a:srgbClr val="000000"/>
              </a:solidFill>
              <a:miter lim="800000"/>
              <a:headEnd/>
              <a:tailEnd/>
            </a:ln>
          </xdr:spPr>
        </xdr:sp>
        <xdr:sp macro="" textlink="">
          <xdr:nvSpPr>
            <xdr:cNvPr id="719" name="Oval 474">
              <a:extLst>
                <a:ext uri="{FF2B5EF4-FFF2-40B4-BE49-F238E27FC236}">
                  <a16:creationId xmlns:a16="http://schemas.microsoft.com/office/drawing/2014/main" id="{00000000-0008-0000-0000-0000CF020000}"/>
                </a:ext>
              </a:extLst>
            </xdr:cNvPr>
            <xdr:cNvSpPr>
              <a:spLocks noChangeArrowheads="1"/>
            </xdr:cNvSpPr>
          </xdr:nvSpPr>
          <xdr:spPr bwMode="auto">
            <a:xfrm>
              <a:off x="439" y="300"/>
              <a:ext cx="19" cy="17"/>
            </a:xfrm>
            <a:prstGeom prst="ellipse">
              <a:avLst/>
            </a:prstGeom>
            <a:grpFill/>
            <a:ln w="9525">
              <a:solidFill>
                <a:srgbClr val="000000"/>
              </a:solidFill>
              <a:round/>
              <a:headEnd/>
              <a:tailEnd/>
            </a:ln>
          </xdr:spPr>
        </xdr:sp>
        <xdr:sp macro="" textlink="">
          <xdr:nvSpPr>
            <xdr:cNvPr id="720" name="AutoShape 475">
              <a:extLst>
                <a:ext uri="{FF2B5EF4-FFF2-40B4-BE49-F238E27FC236}">
                  <a16:creationId xmlns:a16="http://schemas.microsoft.com/office/drawing/2014/main" id="{00000000-0008-0000-0000-0000D0020000}"/>
                </a:ext>
              </a:extLst>
            </xdr:cNvPr>
            <xdr:cNvSpPr>
              <a:spLocks noChangeArrowheads="1"/>
            </xdr:cNvSpPr>
          </xdr:nvSpPr>
          <xdr:spPr bwMode="auto">
            <a:xfrm flipH="1">
              <a:off x="484" y="275"/>
              <a:ext cx="12" cy="17"/>
            </a:xfrm>
            <a:prstGeom prst="flowChartDelay">
              <a:avLst/>
            </a:prstGeom>
            <a:grpFill/>
            <a:ln w="9525">
              <a:solidFill>
                <a:srgbClr val="000000"/>
              </a:solidFill>
              <a:miter lim="800000"/>
              <a:headEnd/>
              <a:tailEnd/>
            </a:ln>
          </xdr:spPr>
        </xdr:sp>
        <xdr:sp macro="" textlink="">
          <xdr:nvSpPr>
            <xdr:cNvPr id="721" name="AutoShape 476">
              <a:extLst>
                <a:ext uri="{FF2B5EF4-FFF2-40B4-BE49-F238E27FC236}">
                  <a16:creationId xmlns:a16="http://schemas.microsoft.com/office/drawing/2014/main" id="{00000000-0008-0000-0000-0000D1020000}"/>
                </a:ext>
              </a:extLst>
            </xdr:cNvPr>
            <xdr:cNvSpPr>
              <a:spLocks noChangeArrowheads="1"/>
            </xdr:cNvSpPr>
          </xdr:nvSpPr>
          <xdr:spPr bwMode="auto">
            <a:xfrm>
              <a:off x="402" y="329"/>
              <a:ext cx="12" cy="17"/>
            </a:xfrm>
            <a:prstGeom prst="flowChartDelay">
              <a:avLst/>
            </a:prstGeom>
            <a:grpFill/>
            <a:ln w="9525">
              <a:solidFill>
                <a:srgbClr val="000000"/>
              </a:solidFill>
              <a:miter lim="800000"/>
              <a:headEnd/>
              <a:tailEnd/>
            </a:ln>
          </xdr:spPr>
        </xdr:sp>
        <xdr:sp macro="" textlink="">
          <xdr:nvSpPr>
            <xdr:cNvPr id="722" name="Oval 477">
              <a:extLst>
                <a:ext uri="{FF2B5EF4-FFF2-40B4-BE49-F238E27FC236}">
                  <a16:creationId xmlns:a16="http://schemas.microsoft.com/office/drawing/2014/main" id="{00000000-0008-0000-0000-0000D2020000}"/>
                </a:ext>
              </a:extLst>
            </xdr:cNvPr>
            <xdr:cNvSpPr>
              <a:spLocks noChangeArrowheads="1"/>
            </xdr:cNvSpPr>
          </xdr:nvSpPr>
          <xdr:spPr bwMode="auto">
            <a:xfrm>
              <a:off x="438" y="354"/>
              <a:ext cx="19" cy="17"/>
            </a:xfrm>
            <a:prstGeom prst="ellipse">
              <a:avLst/>
            </a:prstGeom>
            <a:grpFill/>
            <a:ln w="9525">
              <a:solidFill>
                <a:srgbClr val="000000"/>
              </a:solidFill>
              <a:round/>
              <a:headEnd/>
              <a:tailEnd/>
            </a:ln>
          </xdr:spPr>
        </xdr:sp>
        <xdr:sp macro="" textlink="">
          <xdr:nvSpPr>
            <xdr:cNvPr id="723" name="AutoShape 478">
              <a:extLst>
                <a:ext uri="{FF2B5EF4-FFF2-40B4-BE49-F238E27FC236}">
                  <a16:creationId xmlns:a16="http://schemas.microsoft.com/office/drawing/2014/main" id="{00000000-0008-0000-0000-0000D3020000}"/>
                </a:ext>
              </a:extLst>
            </xdr:cNvPr>
            <xdr:cNvSpPr>
              <a:spLocks noChangeArrowheads="1"/>
            </xdr:cNvSpPr>
          </xdr:nvSpPr>
          <xdr:spPr bwMode="auto">
            <a:xfrm flipH="1">
              <a:off x="484" y="329"/>
              <a:ext cx="12" cy="17"/>
            </a:xfrm>
            <a:prstGeom prst="flowChartDelay">
              <a:avLst/>
            </a:prstGeom>
            <a:grpFill/>
            <a:ln w="9525">
              <a:solidFill>
                <a:srgbClr val="000000"/>
              </a:solidFill>
              <a:miter lim="800000"/>
              <a:headEnd/>
              <a:tailEnd/>
            </a:ln>
          </xdr:spPr>
        </xdr:sp>
        <xdr:sp macro="" textlink="">
          <xdr:nvSpPr>
            <xdr:cNvPr id="724" name="AutoShape 479">
              <a:extLst>
                <a:ext uri="{FF2B5EF4-FFF2-40B4-BE49-F238E27FC236}">
                  <a16:creationId xmlns:a16="http://schemas.microsoft.com/office/drawing/2014/main" id="{00000000-0008-0000-0000-0000D4020000}"/>
                </a:ext>
              </a:extLst>
            </xdr:cNvPr>
            <xdr:cNvSpPr>
              <a:spLocks noChangeArrowheads="1"/>
            </xdr:cNvSpPr>
          </xdr:nvSpPr>
          <xdr:spPr bwMode="auto">
            <a:xfrm>
              <a:off x="402" y="380"/>
              <a:ext cx="12" cy="17"/>
            </a:xfrm>
            <a:prstGeom prst="flowChartDelay">
              <a:avLst/>
            </a:prstGeom>
            <a:grpFill/>
            <a:ln w="9525">
              <a:solidFill>
                <a:srgbClr val="000000"/>
              </a:solidFill>
              <a:miter lim="800000"/>
              <a:headEnd/>
              <a:tailEnd/>
            </a:ln>
          </xdr:spPr>
        </xdr:sp>
        <xdr:sp macro="" textlink="">
          <xdr:nvSpPr>
            <xdr:cNvPr id="725" name="AutoShape 480">
              <a:extLst>
                <a:ext uri="{FF2B5EF4-FFF2-40B4-BE49-F238E27FC236}">
                  <a16:creationId xmlns:a16="http://schemas.microsoft.com/office/drawing/2014/main" id="{00000000-0008-0000-0000-0000D5020000}"/>
                </a:ext>
              </a:extLst>
            </xdr:cNvPr>
            <xdr:cNvSpPr>
              <a:spLocks noChangeArrowheads="1"/>
            </xdr:cNvSpPr>
          </xdr:nvSpPr>
          <xdr:spPr bwMode="auto">
            <a:xfrm flipH="1">
              <a:off x="484" y="381"/>
              <a:ext cx="12" cy="17"/>
            </a:xfrm>
            <a:prstGeom prst="flowChartDelay">
              <a:avLst/>
            </a:prstGeom>
            <a:grpFill/>
            <a:ln w="9525">
              <a:solidFill>
                <a:srgbClr val="000000"/>
              </a:solidFill>
              <a:miter lim="800000"/>
              <a:headEnd/>
              <a:tailEnd/>
            </a:ln>
          </xdr:spPr>
        </xdr:sp>
      </xdr:grpSp>
    </xdr:grpSp>
    <xdr:clientData/>
  </xdr:twoCellAnchor>
  <xdr:twoCellAnchor>
    <xdr:from>
      <xdr:col>1</xdr:col>
      <xdr:colOff>226217</xdr:colOff>
      <xdr:row>74</xdr:row>
      <xdr:rowOff>0</xdr:rowOff>
    </xdr:from>
    <xdr:to>
      <xdr:col>1</xdr:col>
      <xdr:colOff>559592</xdr:colOff>
      <xdr:row>74</xdr:row>
      <xdr:rowOff>0</xdr:rowOff>
    </xdr:to>
    <xdr:grpSp>
      <xdr:nvGrpSpPr>
        <xdr:cNvPr id="733" name="Group 485">
          <a:extLst>
            <a:ext uri="{FF2B5EF4-FFF2-40B4-BE49-F238E27FC236}">
              <a16:creationId xmlns:a16="http://schemas.microsoft.com/office/drawing/2014/main" id="{00000000-0008-0000-0000-0000DD020000}"/>
            </a:ext>
          </a:extLst>
        </xdr:cNvPr>
        <xdr:cNvGrpSpPr>
          <a:grpSpLocks/>
        </xdr:cNvGrpSpPr>
      </xdr:nvGrpSpPr>
      <xdr:grpSpPr bwMode="auto">
        <a:xfrm rot="80297" flipH="1">
          <a:off x="824931" y="26474057"/>
          <a:ext cx="333375" cy="0"/>
          <a:chOff x="98" y="425"/>
          <a:chExt cx="93" cy="103"/>
        </a:xfrm>
      </xdr:grpSpPr>
      <xdr:sp macro="" textlink="">
        <xdr:nvSpPr>
          <xdr:cNvPr id="734" name="Freeform 486">
            <a:extLst>
              <a:ext uri="{FF2B5EF4-FFF2-40B4-BE49-F238E27FC236}">
                <a16:creationId xmlns:a16="http://schemas.microsoft.com/office/drawing/2014/main" id="{00000000-0008-0000-0000-0000DE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35" name="Freeform 487">
            <a:extLst>
              <a:ext uri="{FF2B5EF4-FFF2-40B4-BE49-F238E27FC236}">
                <a16:creationId xmlns:a16="http://schemas.microsoft.com/office/drawing/2014/main" id="{00000000-0008-0000-0000-0000DF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36" name="Freeform 488">
            <a:extLst>
              <a:ext uri="{FF2B5EF4-FFF2-40B4-BE49-F238E27FC236}">
                <a16:creationId xmlns:a16="http://schemas.microsoft.com/office/drawing/2014/main" id="{00000000-0008-0000-0000-0000E0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567840</xdr:colOff>
      <xdr:row>72</xdr:row>
      <xdr:rowOff>0</xdr:rowOff>
    </xdr:from>
    <xdr:to>
      <xdr:col>1</xdr:col>
      <xdr:colOff>843801</xdr:colOff>
      <xdr:row>73</xdr:row>
      <xdr:rowOff>0</xdr:rowOff>
    </xdr:to>
    <xdr:grpSp>
      <xdr:nvGrpSpPr>
        <xdr:cNvPr id="737" name="Group 466">
          <a:extLst>
            <a:ext uri="{FF2B5EF4-FFF2-40B4-BE49-F238E27FC236}">
              <a16:creationId xmlns:a16="http://schemas.microsoft.com/office/drawing/2014/main" id="{00000000-0008-0000-0000-0000E1020000}"/>
            </a:ext>
          </a:extLst>
        </xdr:cNvPr>
        <xdr:cNvGrpSpPr>
          <a:grpSpLocks/>
        </xdr:cNvGrpSpPr>
      </xdr:nvGrpSpPr>
      <xdr:grpSpPr bwMode="auto">
        <a:xfrm>
          <a:off x="1166554" y="25820914"/>
          <a:ext cx="275961" cy="370115"/>
          <a:chOff x="401" y="230"/>
          <a:chExt cx="95" cy="183"/>
        </a:xfrm>
      </xdr:grpSpPr>
      <xdr:grpSp>
        <xdr:nvGrpSpPr>
          <xdr:cNvPr id="738" name="Group 467">
            <a:extLst>
              <a:ext uri="{FF2B5EF4-FFF2-40B4-BE49-F238E27FC236}">
                <a16:creationId xmlns:a16="http://schemas.microsoft.com/office/drawing/2014/main" id="{00000000-0008-0000-0000-0000E2020000}"/>
              </a:ext>
            </a:extLst>
          </xdr:cNvPr>
          <xdr:cNvGrpSpPr>
            <a:grpSpLocks/>
          </xdr:cNvGrpSpPr>
        </xdr:nvGrpSpPr>
        <xdr:grpSpPr bwMode="auto">
          <a:xfrm>
            <a:off x="401" y="230"/>
            <a:ext cx="95" cy="183"/>
            <a:chOff x="390" y="230"/>
            <a:chExt cx="182" cy="165"/>
          </a:xfrm>
        </xdr:grpSpPr>
        <xdr:sp macro="" textlink="">
          <xdr:nvSpPr>
            <xdr:cNvPr id="749" name="Freeform 468">
              <a:extLst>
                <a:ext uri="{FF2B5EF4-FFF2-40B4-BE49-F238E27FC236}">
                  <a16:creationId xmlns:a16="http://schemas.microsoft.com/office/drawing/2014/main" id="{00000000-0008-0000-0000-0000ED02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750" name="Rectangle 469">
              <a:extLst>
                <a:ext uri="{FF2B5EF4-FFF2-40B4-BE49-F238E27FC236}">
                  <a16:creationId xmlns:a16="http://schemas.microsoft.com/office/drawing/2014/main" id="{00000000-0008-0000-0000-0000EE020000}"/>
                </a:ext>
              </a:extLst>
            </xdr:cNvPr>
            <xdr:cNvSpPr>
              <a:spLocks noChangeArrowheads="1"/>
            </xdr:cNvSpPr>
          </xdr:nvSpPr>
          <xdr:spPr bwMode="auto">
            <a:xfrm>
              <a:off x="391" y="237"/>
              <a:ext cx="180" cy="152"/>
            </a:xfrm>
            <a:prstGeom prst="rect">
              <a:avLst/>
            </a:prstGeom>
            <a:gradFill rotWithShape="0">
              <a:gsLst>
                <a:gs pos="0">
                  <a:srgbClr val="008B00"/>
                </a:gs>
                <a:gs pos="50000">
                  <a:srgbClr val="00FF00"/>
                </a:gs>
                <a:gs pos="100000">
                  <a:srgbClr val="008B00"/>
                </a:gs>
              </a:gsLst>
              <a:lin ang="0" scaled="1"/>
            </a:grad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751" name="Freeform 470">
              <a:extLst>
                <a:ext uri="{FF2B5EF4-FFF2-40B4-BE49-F238E27FC236}">
                  <a16:creationId xmlns:a16="http://schemas.microsoft.com/office/drawing/2014/main" id="{00000000-0008-0000-0000-0000EF02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739" name="Group 471">
            <a:extLst>
              <a:ext uri="{FF2B5EF4-FFF2-40B4-BE49-F238E27FC236}">
                <a16:creationId xmlns:a16="http://schemas.microsoft.com/office/drawing/2014/main" id="{00000000-0008-0000-0000-0000E3020000}"/>
              </a:ext>
            </a:extLst>
          </xdr:cNvPr>
          <xdr:cNvGrpSpPr>
            <a:grpSpLocks/>
          </xdr:cNvGrpSpPr>
        </xdr:nvGrpSpPr>
        <xdr:grpSpPr bwMode="auto">
          <a:xfrm>
            <a:off x="402" y="246"/>
            <a:ext cx="94" cy="152"/>
            <a:chOff x="402" y="246"/>
            <a:chExt cx="94" cy="152"/>
          </a:xfrm>
        </xdr:grpSpPr>
        <xdr:sp macro="" textlink="">
          <xdr:nvSpPr>
            <xdr:cNvPr id="740" name="Oval 472">
              <a:extLst>
                <a:ext uri="{FF2B5EF4-FFF2-40B4-BE49-F238E27FC236}">
                  <a16:creationId xmlns:a16="http://schemas.microsoft.com/office/drawing/2014/main" id="{00000000-0008-0000-0000-0000E4020000}"/>
                </a:ext>
              </a:extLst>
            </xdr:cNvPr>
            <xdr:cNvSpPr>
              <a:spLocks noChangeArrowheads="1"/>
            </xdr:cNvSpPr>
          </xdr:nvSpPr>
          <xdr:spPr bwMode="auto">
            <a:xfrm>
              <a:off x="439" y="246"/>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741" name="AutoShape 473">
              <a:extLst>
                <a:ext uri="{FF2B5EF4-FFF2-40B4-BE49-F238E27FC236}">
                  <a16:creationId xmlns:a16="http://schemas.microsoft.com/office/drawing/2014/main" id="{00000000-0008-0000-0000-0000E5020000}"/>
                </a:ext>
              </a:extLst>
            </xdr:cNvPr>
            <xdr:cNvSpPr>
              <a:spLocks noChangeArrowheads="1"/>
            </xdr:cNvSpPr>
          </xdr:nvSpPr>
          <xdr:spPr bwMode="auto">
            <a:xfrm>
              <a:off x="402" y="274"/>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742" name="Oval 474">
              <a:extLst>
                <a:ext uri="{FF2B5EF4-FFF2-40B4-BE49-F238E27FC236}">
                  <a16:creationId xmlns:a16="http://schemas.microsoft.com/office/drawing/2014/main" id="{00000000-0008-0000-0000-0000E6020000}"/>
                </a:ext>
              </a:extLst>
            </xdr:cNvPr>
            <xdr:cNvSpPr>
              <a:spLocks noChangeArrowheads="1"/>
            </xdr:cNvSpPr>
          </xdr:nvSpPr>
          <xdr:spPr bwMode="auto">
            <a:xfrm>
              <a:off x="439" y="300"/>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743" name="AutoShape 475">
              <a:extLst>
                <a:ext uri="{FF2B5EF4-FFF2-40B4-BE49-F238E27FC236}">
                  <a16:creationId xmlns:a16="http://schemas.microsoft.com/office/drawing/2014/main" id="{00000000-0008-0000-0000-0000E7020000}"/>
                </a:ext>
              </a:extLst>
            </xdr:cNvPr>
            <xdr:cNvSpPr>
              <a:spLocks noChangeArrowheads="1"/>
            </xdr:cNvSpPr>
          </xdr:nvSpPr>
          <xdr:spPr bwMode="auto">
            <a:xfrm flipH="1">
              <a:off x="484" y="275"/>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744" name="AutoShape 476">
              <a:extLst>
                <a:ext uri="{FF2B5EF4-FFF2-40B4-BE49-F238E27FC236}">
                  <a16:creationId xmlns:a16="http://schemas.microsoft.com/office/drawing/2014/main" id="{00000000-0008-0000-0000-0000E8020000}"/>
                </a:ext>
              </a:extLst>
            </xdr:cNvPr>
            <xdr:cNvSpPr>
              <a:spLocks noChangeArrowheads="1"/>
            </xdr:cNvSpPr>
          </xdr:nvSpPr>
          <xdr:spPr bwMode="auto">
            <a:xfrm>
              <a:off x="402"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745" name="Oval 477">
              <a:extLst>
                <a:ext uri="{FF2B5EF4-FFF2-40B4-BE49-F238E27FC236}">
                  <a16:creationId xmlns:a16="http://schemas.microsoft.com/office/drawing/2014/main" id="{00000000-0008-0000-0000-0000E9020000}"/>
                </a:ext>
              </a:extLst>
            </xdr:cNvPr>
            <xdr:cNvSpPr>
              <a:spLocks noChangeArrowheads="1"/>
            </xdr:cNvSpPr>
          </xdr:nvSpPr>
          <xdr:spPr bwMode="auto">
            <a:xfrm>
              <a:off x="438" y="354"/>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746" name="AutoShape 478">
              <a:extLst>
                <a:ext uri="{FF2B5EF4-FFF2-40B4-BE49-F238E27FC236}">
                  <a16:creationId xmlns:a16="http://schemas.microsoft.com/office/drawing/2014/main" id="{00000000-0008-0000-0000-0000EA020000}"/>
                </a:ext>
              </a:extLst>
            </xdr:cNvPr>
            <xdr:cNvSpPr>
              <a:spLocks noChangeArrowheads="1"/>
            </xdr:cNvSpPr>
          </xdr:nvSpPr>
          <xdr:spPr bwMode="auto">
            <a:xfrm flipH="1">
              <a:off x="484"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747" name="AutoShape 479">
              <a:extLst>
                <a:ext uri="{FF2B5EF4-FFF2-40B4-BE49-F238E27FC236}">
                  <a16:creationId xmlns:a16="http://schemas.microsoft.com/office/drawing/2014/main" id="{00000000-0008-0000-0000-0000EB020000}"/>
                </a:ext>
              </a:extLst>
            </xdr:cNvPr>
            <xdr:cNvSpPr>
              <a:spLocks noChangeArrowheads="1"/>
            </xdr:cNvSpPr>
          </xdr:nvSpPr>
          <xdr:spPr bwMode="auto">
            <a:xfrm>
              <a:off x="402" y="380"/>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748" name="AutoShape 480">
              <a:extLst>
                <a:ext uri="{FF2B5EF4-FFF2-40B4-BE49-F238E27FC236}">
                  <a16:creationId xmlns:a16="http://schemas.microsoft.com/office/drawing/2014/main" id="{00000000-0008-0000-0000-0000EC020000}"/>
                </a:ext>
              </a:extLst>
            </xdr:cNvPr>
            <xdr:cNvSpPr>
              <a:spLocks noChangeArrowheads="1"/>
            </xdr:cNvSpPr>
          </xdr:nvSpPr>
          <xdr:spPr bwMode="auto">
            <a:xfrm flipH="1">
              <a:off x="484" y="381"/>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grpSp>
    </xdr:grpSp>
    <xdr:clientData/>
  </xdr:twoCellAnchor>
  <xdr:twoCellAnchor>
    <xdr:from>
      <xdr:col>1</xdr:col>
      <xdr:colOff>848075</xdr:colOff>
      <xdr:row>72</xdr:row>
      <xdr:rowOff>23812</xdr:rowOff>
    </xdr:from>
    <xdr:to>
      <xdr:col>1</xdr:col>
      <xdr:colOff>1190975</xdr:colOff>
      <xdr:row>72</xdr:row>
      <xdr:rowOff>350065</xdr:rowOff>
    </xdr:to>
    <xdr:grpSp>
      <xdr:nvGrpSpPr>
        <xdr:cNvPr id="752" name="Group 481">
          <a:extLst>
            <a:ext uri="{FF2B5EF4-FFF2-40B4-BE49-F238E27FC236}">
              <a16:creationId xmlns:a16="http://schemas.microsoft.com/office/drawing/2014/main" id="{00000000-0008-0000-0000-0000F0020000}"/>
            </a:ext>
          </a:extLst>
        </xdr:cNvPr>
        <xdr:cNvGrpSpPr>
          <a:grpSpLocks/>
        </xdr:cNvGrpSpPr>
      </xdr:nvGrpSpPr>
      <xdr:grpSpPr bwMode="auto">
        <a:xfrm rot="10840149" flipH="1">
          <a:off x="1446789" y="25844726"/>
          <a:ext cx="342900" cy="326253"/>
          <a:chOff x="98" y="425"/>
          <a:chExt cx="93" cy="103"/>
        </a:xfrm>
      </xdr:grpSpPr>
      <xdr:sp macro="" textlink="">
        <xdr:nvSpPr>
          <xdr:cNvPr id="753" name="Freeform 482">
            <a:extLst>
              <a:ext uri="{FF2B5EF4-FFF2-40B4-BE49-F238E27FC236}">
                <a16:creationId xmlns:a16="http://schemas.microsoft.com/office/drawing/2014/main" id="{00000000-0008-0000-0000-0000F1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54" name="Freeform 483">
            <a:extLst>
              <a:ext uri="{FF2B5EF4-FFF2-40B4-BE49-F238E27FC236}">
                <a16:creationId xmlns:a16="http://schemas.microsoft.com/office/drawing/2014/main" id="{00000000-0008-0000-0000-0000F2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55" name="Freeform 484">
            <a:extLst>
              <a:ext uri="{FF2B5EF4-FFF2-40B4-BE49-F238E27FC236}">
                <a16:creationId xmlns:a16="http://schemas.microsoft.com/office/drawing/2014/main" id="{00000000-0008-0000-0000-0000F3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756" name="Group 485">
          <a:extLst>
            <a:ext uri="{FF2B5EF4-FFF2-40B4-BE49-F238E27FC236}">
              <a16:creationId xmlns:a16="http://schemas.microsoft.com/office/drawing/2014/main" id="{00000000-0008-0000-0000-0000F4020000}"/>
            </a:ext>
          </a:extLst>
        </xdr:cNvPr>
        <xdr:cNvGrpSpPr>
          <a:grpSpLocks/>
        </xdr:cNvGrpSpPr>
      </xdr:nvGrpSpPr>
      <xdr:grpSpPr bwMode="auto">
        <a:xfrm rot="80297" flipH="1">
          <a:off x="824931" y="25820914"/>
          <a:ext cx="333375" cy="310596"/>
          <a:chOff x="98" y="425"/>
          <a:chExt cx="93" cy="103"/>
        </a:xfrm>
      </xdr:grpSpPr>
      <xdr:sp macro="" textlink="">
        <xdr:nvSpPr>
          <xdr:cNvPr id="757" name="Freeform 486">
            <a:extLst>
              <a:ext uri="{FF2B5EF4-FFF2-40B4-BE49-F238E27FC236}">
                <a16:creationId xmlns:a16="http://schemas.microsoft.com/office/drawing/2014/main" id="{00000000-0008-0000-0000-0000F502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58" name="Freeform 487">
            <a:extLst>
              <a:ext uri="{FF2B5EF4-FFF2-40B4-BE49-F238E27FC236}">
                <a16:creationId xmlns:a16="http://schemas.microsoft.com/office/drawing/2014/main" id="{00000000-0008-0000-0000-0000F602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59" name="Freeform 488">
            <a:extLst>
              <a:ext uri="{FF2B5EF4-FFF2-40B4-BE49-F238E27FC236}">
                <a16:creationId xmlns:a16="http://schemas.microsoft.com/office/drawing/2014/main" id="{00000000-0008-0000-0000-0000F702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760" name="Group 485">
          <a:extLst>
            <a:ext uri="{FF2B5EF4-FFF2-40B4-BE49-F238E27FC236}">
              <a16:creationId xmlns:a16="http://schemas.microsoft.com/office/drawing/2014/main" id="{00000000-0008-0000-0000-0000F8020000}"/>
            </a:ext>
          </a:extLst>
        </xdr:cNvPr>
        <xdr:cNvGrpSpPr>
          <a:grpSpLocks/>
        </xdr:cNvGrpSpPr>
      </xdr:nvGrpSpPr>
      <xdr:grpSpPr bwMode="auto">
        <a:xfrm rot="80297" flipH="1">
          <a:off x="824931" y="25820914"/>
          <a:ext cx="333375" cy="0"/>
          <a:chOff x="98" y="425"/>
          <a:chExt cx="93" cy="103"/>
        </a:xfrm>
      </xdr:grpSpPr>
      <xdr:sp macro="" textlink="">
        <xdr:nvSpPr>
          <xdr:cNvPr id="768" name="Freeform 486">
            <a:extLst>
              <a:ext uri="{FF2B5EF4-FFF2-40B4-BE49-F238E27FC236}">
                <a16:creationId xmlns:a16="http://schemas.microsoft.com/office/drawing/2014/main" id="{00000000-0008-0000-0000-000000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69" name="Freeform 487">
            <a:extLst>
              <a:ext uri="{FF2B5EF4-FFF2-40B4-BE49-F238E27FC236}">
                <a16:creationId xmlns:a16="http://schemas.microsoft.com/office/drawing/2014/main" id="{00000000-0008-0000-0000-000001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770" name="Freeform 488">
            <a:extLst>
              <a:ext uri="{FF2B5EF4-FFF2-40B4-BE49-F238E27FC236}">
                <a16:creationId xmlns:a16="http://schemas.microsoft.com/office/drawing/2014/main" id="{00000000-0008-0000-0000-000002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771" name="Group 485">
          <a:extLst>
            <a:ext uri="{FF2B5EF4-FFF2-40B4-BE49-F238E27FC236}">
              <a16:creationId xmlns:a16="http://schemas.microsoft.com/office/drawing/2014/main" id="{00000000-0008-0000-0000-000003030000}"/>
            </a:ext>
          </a:extLst>
        </xdr:cNvPr>
        <xdr:cNvGrpSpPr>
          <a:grpSpLocks/>
        </xdr:cNvGrpSpPr>
      </xdr:nvGrpSpPr>
      <xdr:grpSpPr bwMode="auto">
        <a:xfrm rot="80297" flipH="1">
          <a:off x="824931" y="25820914"/>
          <a:ext cx="333375" cy="310596"/>
          <a:chOff x="98" y="425"/>
          <a:chExt cx="93" cy="103"/>
        </a:xfrm>
      </xdr:grpSpPr>
      <xdr:sp macro="" textlink="">
        <xdr:nvSpPr>
          <xdr:cNvPr id="804" name="Freeform 486">
            <a:extLst>
              <a:ext uri="{FF2B5EF4-FFF2-40B4-BE49-F238E27FC236}">
                <a16:creationId xmlns:a16="http://schemas.microsoft.com/office/drawing/2014/main" id="{00000000-0008-0000-0000-000024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05" name="Freeform 487">
            <a:extLst>
              <a:ext uri="{FF2B5EF4-FFF2-40B4-BE49-F238E27FC236}">
                <a16:creationId xmlns:a16="http://schemas.microsoft.com/office/drawing/2014/main" id="{00000000-0008-0000-0000-000025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06" name="Freeform 488">
            <a:extLst>
              <a:ext uri="{FF2B5EF4-FFF2-40B4-BE49-F238E27FC236}">
                <a16:creationId xmlns:a16="http://schemas.microsoft.com/office/drawing/2014/main" id="{00000000-0008-0000-0000-000026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807" name="Group 485">
          <a:extLst>
            <a:ext uri="{FF2B5EF4-FFF2-40B4-BE49-F238E27FC236}">
              <a16:creationId xmlns:a16="http://schemas.microsoft.com/office/drawing/2014/main" id="{00000000-0008-0000-0000-000027030000}"/>
            </a:ext>
          </a:extLst>
        </xdr:cNvPr>
        <xdr:cNvGrpSpPr>
          <a:grpSpLocks/>
        </xdr:cNvGrpSpPr>
      </xdr:nvGrpSpPr>
      <xdr:grpSpPr bwMode="auto">
        <a:xfrm rot="80297" flipH="1">
          <a:off x="824931" y="25820914"/>
          <a:ext cx="333375" cy="0"/>
          <a:chOff x="98" y="425"/>
          <a:chExt cx="93" cy="103"/>
        </a:xfrm>
      </xdr:grpSpPr>
      <xdr:sp macro="" textlink="">
        <xdr:nvSpPr>
          <xdr:cNvPr id="808" name="Freeform 486">
            <a:extLst>
              <a:ext uri="{FF2B5EF4-FFF2-40B4-BE49-F238E27FC236}">
                <a16:creationId xmlns:a16="http://schemas.microsoft.com/office/drawing/2014/main" id="{00000000-0008-0000-0000-000028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09" name="Freeform 487">
            <a:extLst>
              <a:ext uri="{FF2B5EF4-FFF2-40B4-BE49-F238E27FC236}">
                <a16:creationId xmlns:a16="http://schemas.microsoft.com/office/drawing/2014/main" id="{00000000-0008-0000-0000-000029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10" name="Freeform 488">
            <a:extLst>
              <a:ext uri="{FF2B5EF4-FFF2-40B4-BE49-F238E27FC236}">
                <a16:creationId xmlns:a16="http://schemas.microsoft.com/office/drawing/2014/main" id="{00000000-0008-0000-0000-00002A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811" name="Group 485">
          <a:extLst>
            <a:ext uri="{FF2B5EF4-FFF2-40B4-BE49-F238E27FC236}">
              <a16:creationId xmlns:a16="http://schemas.microsoft.com/office/drawing/2014/main" id="{00000000-0008-0000-0000-00002B030000}"/>
            </a:ext>
          </a:extLst>
        </xdr:cNvPr>
        <xdr:cNvGrpSpPr>
          <a:grpSpLocks/>
        </xdr:cNvGrpSpPr>
      </xdr:nvGrpSpPr>
      <xdr:grpSpPr bwMode="auto">
        <a:xfrm rot="80297" flipH="1">
          <a:off x="824931" y="25820914"/>
          <a:ext cx="333375" cy="310596"/>
          <a:chOff x="98" y="425"/>
          <a:chExt cx="93" cy="103"/>
        </a:xfrm>
      </xdr:grpSpPr>
      <xdr:sp macro="" textlink="">
        <xdr:nvSpPr>
          <xdr:cNvPr id="812" name="Freeform 486">
            <a:extLst>
              <a:ext uri="{FF2B5EF4-FFF2-40B4-BE49-F238E27FC236}">
                <a16:creationId xmlns:a16="http://schemas.microsoft.com/office/drawing/2014/main" id="{00000000-0008-0000-0000-00002C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13" name="Freeform 487">
            <a:extLst>
              <a:ext uri="{FF2B5EF4-FFF2-40B4-BE49-F238E27FC236}">
                <a16:creationId xmlns:a16="http://schemas.microsoft.com/office/drawing/2014/main" id="{00000000-0008-0000-0000-00002D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14" name="Freeform 488">
            <a:extLst>
              <a:ext uri="{FF2B5EF4-FFF2-40B4-BE49-F238E27FC236}">
                <a16:creationId xmlns:a16="http://schemas.microsoft.com/office/drawing/2014/main" id="{00000000-0008-0000-0000-00002E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815" name="Group 485">
          <a:extLst>
            <a:ext uri="{FF2B5EF4-FFF2-40B4-BE49-F238E27FC236}">
              <a16:creationId xmlns:a16="http://schemas.microsoft.com/office/drawing/2014/main" id="{00000000-0008-0000-0000-00002F030000}"/>
            </a:ext>
          </a:extLst>
        </xdr:cNvPr>
        <xdr:cNvGrpSpPr>
          <a:grpSpLocks/>
        </xdr:cNvGrpSpPr>
      </xdr:nvGrpSpPr>
      <xdr:grpSpPr bwMode="auto">
        <a:xfrm rot="80297" flipH="1">
          <a:off x="824931" y="25820914"/>
          <a:ext cx="333375" cy="0"/>
          <a:chOff x="98" y="425"/>
          <a:chExt cx="93" cy="103"/>
        </a:xfrm>
      </xdr:grpSpPr>
      <xdr:sp macro="" textlink="">
        <xdr:nvSpPr>
          <xdr:cNvPr id="816" name="Freeform 486">
            <a:extLst>
              <a:ext uri="{FF2B5EF4-FFF2-40B4-BE49-F238E27FC236}">
                <a16:creationId xmlns:a16="http://schemas.microsoft.com/office/drawing/2014/main" id="{00000000-0008-0000-0000-000030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17" name="Freeform 487">
            <a:extLst>
              <a:ext uri="{FF2B5EF4-FFF2-40B4-BE49-F238E27FC236}">
                <a16:creationId xmlns:a16="http://schemas.microsoft.com/office/drawing/2014/main" id="{00000000-0008-0000-0000-000031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18" name="Freeform 488">
            <a:extLst>
              <a:ext uri="{FF2B5EF4-FFF2-40B4-BE49-F238E27FC236}">
                <a16:creationId xmlns:a16="http://schemas.microsoft.com/office/drawing/2014/main" id="{00000000-0008-0000-0000-000032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819" name="Group 485">
          <a:extLst>
            <a:ext uri="{FF2B5EF4-FFF2-40B4-BE49-F238E27FC236}">
              <a16:creationId xmlns:a16="http://schemas.microsoft.com/office/drawing/2014/main" id="{00000000-0008-0000-0000-000033030000}"/>
            </a:ext>
          </a:extLst>
        </xdr:cNvPr>
        <xdr:cNvGrpSpPr>
          <a:grpSpLocks/>
        </xdr:cNvGrpSpPr>
      </xdr:nvGrpSpPr>
      <xdr:grpSpPr bwMode="auto">
        <a:xfrm rot="80297" flipH="1">
          <a:off x="824931" y="25820914"/>
          <a:ext cx="333375" cy="310596"/>
          <a:chOff x="98" y="425"/>
          <a:chExt cx="93" cy="103"/>
        </a:xfrm>
      </xdr:grpSpPr>
      <xdr:sp macro="" textlink="">
        <xdr:nvSpPr>
          <xdr:cNvPr id="820" name="Freeform 486">
            <a:extLst>
              <a:ext uri="{FF2B5EF4-FFF2-40B4-BE49-F238E27FC236}">
                <a16:creationId xmlns:a16="http://schemas.microsoft.com/office/drawing/2014/main" id="{00000000-0008-0000-0000-000034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21" name="Freeform 487">
            <a:extLst>
              <a:ext uri="{FF2B5EF4-FFF2-40B4-BE49-F238E27FC236}">
                <a16:creationId xmlns:a16="http://schemas.microsoft.com/office/drawing/2014/main" id="{00000000-0008-0000-0000-000035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22" name="Freeform 488">
            <a:extLst>
              <a:ext uri="{FF2B5EF4-FFF2-40B4-BE49-F238E27FC236}">
                <a16:creationId xmlns:a16="http://schemas.microsoft.com/office/drawing/2014/main" id="{00000000-0008-0000-0000-000036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823" name="Group 485">
          <a:extLst>
            <a:ext uri="{FF2B5EF4-FFF2-40B4-BE49-F238E27FC236}">
              <a16:creationId xmlns:a16="http://schemas.microsoft.com/office/drawing/2014/main" id="{00000000-0008-0000-0000-000037030000}"/>
            </a:ext>
          </a:extLst>
        </xdr:cNvPr>
        <xdr:cNvGrpSpPr>
          <a:grpSpLocks/>
        </xdr:cNvGrpSpPr>
      </xdr:nvGrpSpPr>
      <xdr:grpSpPr bwMode="auto">
        <a:xfrm rot="80297" flipH="1">
          <a:off x="824931" y="25820914"/>
          <a:ext cx="333375" cy="0"/>
          <a:chOff x="98" y="425"/>
          <a:chExt cx="93" cy="103"/>
        </a:xfrm>
      </xdr:grpSpPr>
      <xdr:sp macro="" textlink="">
        <xdr:nvSpPr>
          <xdr:cNvPr id="824" name="Freeform 486">
            <a:extLst>
              <a:ext uri="{FF2B5EF4-FFF2-40B4-BE49-F238E27FC236}">
                <a16:creationId xmlns:a16="http://schemas.microsoft.com/office/drawing/2014/main" id="{00000000-0008-0000-0000-000038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25" name="Freeform 487">
            <a:extLst>
              <a:ext uri="{FF2B5EF4-FFF2-40B4-BE49-F238E27FC236}">
                <a16:creationId xmlns:a16="http://schemas.microsoft.com/office/drawing/2014/main" id="{00000000-0008-0000-0000-000039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26" name="Freeform 488">
            <a:extLst>
              <a:ext uri="{FF2B5EF4-FFF2-40B4-BE49-F238E27FC236}">
                <a16:creationId xmlns:a16="http://schemas.microsoft.com/office/drawing/2014/main" id="{00000000-0008-0000-0000-00003A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827" name="Group 485">
          <a:extLst>
            <a:ext uri="{FF2B5EF4-FFF2-40B4-BE49-F238E27FC236}">
              <a16:creationId xmlns:a16="http://schemas.microsoft.com/office/drawing/2014/main" id="{00000000-0008-0000-0000-00003B030000}"/>
            </a:ext>
          </a:extLst>
        </xdr:cNvPr>
        <xdr:cNvGrpSpPr>
          <a:grpSpLocks/>
        </xdr:cNvGrpSpPr>
      </xdr:nvGrpSpPr>
      <xdr:grpSpPr bwMode="auto">
        <a:xfrm rot="80297" flipH="1">
          <a:off x="824931" y="25820914"/>
          <a:ext cx="333375" cy="310596"/>
          <a:chOff x="98" y="425"/>
          <a:chExt cx="93" cy="103"/>
        </a:xfrm>
      </xdr:grpSpPr>
      <xdr:sp macro="" textlink="">
        <xdr:nvSpPr>
          <xdr:cNvPr id="828" name="Freeform 486">
            <a:extLst>
              <a:ext uri="{FF2B5EF4-FFF2-40B4-BE49-F238E27FC236}">
                <a16:creationId xmlns:a16="http://schemas.microsoft.com/office/drawing/2014/main" id="{00000000-0008-0000-0000-00003C03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29" name="Freeform 487">
            <a:extLst>
              <a:ext uri="{FF2B5EF4-FFF2-40B4-BE49-F238E27FC236}">
                <a16:creationId xmlns:a16="http://schemas.microsoft.com/office/drawing/2014/main" id="{00000000-0008-0000-0000-00003D03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830" name="Freeform 488">
            <a:extLst>
              <a:ext uri="{FF2B5EF4-FFF2-40B4-BE49-F238E27FC236}">
                <a16:creationId xmlns:a16="http://schemas.microsoft.com/office/drawing/2014/main" id="{00000000-0008-0000-0000-00003E03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831" name="Group 485">
          <a:extLst>
            <a:ext uri="{FF2B5EF4-FFF2-40B4-BE49-F238E27FC236}">
              <a16:creationId xmlns:a16="http://schemas.microsoft.com/office/drawing/2014/main" id="{00000000-0008-0000-0000-00003F030000}"/>
            </a:ext>
          </a:extLst>
        </xdr:cNvPr>
        <xdr:cNvGrpSpPr>
          <a:grpSpLocks/>
        </xdr:cNvGrpSpPr>
      </xdr:nvGrpSpPr>
      <xdr:grpSpPr bwMode="auto">
        <a:xfrm rot="80297" flipH="1">
          <a:off x="824931" y="25820914"/>
          <a:ext cx="333375" cy="0"/>
          <a:chOff x="98" y="425"/>
          <a:chExt cx="93" cy="103"/>
        </a:xfrm>
      </xdr:grpSpPr>
      <xdr:sp macro="" textlink="">
        <xdr:nvSpPr>
          <xdr:cNvPr id="1056" name="Freeform 486">
            <a:extLst>
              <a:ext uri="{FF2B5EF4-FFF2-40B4-BE49-F238E27FC236}">
                <a16:creationId xmlns:a16="http://schemas.microsoft.com/office/drawing/2014/main" id="{00000000-0008-0000-0000-000020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57" name="Freeform 487">
            <a:extLst>
              <a:ext uri="{FF2B5EF4-FFF2-40B4-BE49-F238E27FC236}">
                <a16:creationId xmlns:a16="http://schemas.microsoft.com/office/drawing/2014/main" id="{00000000-0008-0000-0000-000021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58" name="Freeform 488">
            <a:extLst>
              <a:ext uri="{FF2B5EF4-FFF2-40B4-BE49-F238E27FC236}">
                <a16:creationId xmlns:a16="http://schemas.microsoft.com/office/drawing/2014/main" id="{00000000-0008-0000-0000-000022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059" name="Group 485">
          <a:extLst>
            <a:ext uri="{FF2B5EF4-FFF2-40B4-BE49-F238E27FC236}">
              <a16:creationId xmlns:a16="http://schemas.microsoft.com/office/drawing/2014/main" id="{00000000-0008-0000-0000-000023040000}"/>
            </a:ext>
          </a:extLst>
        </xdr:cNvPr>
        <xdr:cNvGrpSpPr>
          <a:grpSpLocks/>
        </xdr:cNvGrpSpPr>
      </xdr:nvGrpSpPr>
      <xdr:grpSpPr bwMode="auto">
        <a:xfrm rot="80297" flipH="1">
          <a:off x="824931" y="25820914"/>
          <a:ext cx="333375" cy="310596"/>
          <a:chOff x="98" y="425"/>
          <a:chExt cx="93" cy="103"/>
        </a:xfrm>
      </xdr:grpSpPr>
      <xdr:sp macro="" textlink="">
        <xdr:nvSpPr>
          <xdr:cNvPr id="1060" name="Freeform 486">
            <a:extLst>
              <a:ext uri="{FF2B5EF4-FFF2-40B4-BE49-F238E27FC236}">
                <a16:creationId xmlns:a16="http://schemas.microsoft.com/office/drawing/2014/main" id="{00000000-0008-0000-0000-000024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61" name="Freeform 487">
            <a:extLst>
              <a:ext uri="{FF2B5EF4-FFF2-40B4-BE49-F238E27FC236}">
                <a16:creationId xmlns:a16="http://schemas.microsoft.com/office/drawing/2014/main" id="{00000000-0008-0000-0000-000025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62" name="Freeform 488">
            <a:extLst>
              <a:ext uri="{FF2B5EF4-FFF2-40B4-BE49-F238E27FC236}">
                <a16:creationId xmlns:a16="http://schemas.microsoft.com/office/drawing/2014/main" id="{00000000-0008-0000-0000-000026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063" name="Group 485">
          <a:extLst>
            <a:ext uri="{FF2B5EF4-FFF2-40B4-BE49-F238E27FC236}">
              <a16:creationId xmlns:a16="http://schemas.microsoft.com/office/drawing/2014/main" id="{00000000-0008-0000-0000-000027040000}"/>
            </a:ext>
          </a:extLst>
        </xdr:cNvPr>
        <xdr:cNvGrpSpPr>
          <a:grpSpLocks/>
        </xdr:cNvGrpSpPr>
      </xdr:nvGrpSpPr>
      <xdr:grpSpPr bwMode="auto">
        <a:xfrm rot="80297" flipH="1">
          <a:off x="824931" y="25820914"/>
          <a:ext cx="333375" cy="0"/>
          <a:chOff x="98" y="425"/>
          <a:chExt cx="93" cy="103"/>
        </a:xfrm>
      </xdr:grpSpPr>
      <xdr:sp macro="" textlink="">
        <xdr:nvSpPr>
          <xdr:cNvPr id="1064" name="Freeform 486">
            <a:extLst>
              <a:ext uri="{FF2B5EF4-FFF2-40B4-BE49-F238E27FC236}">
                <a16:creationId xmlns:a16="http://schemas.microsoft.com/office/drawing/2014/main" id="{00000000-0008-0000-0000-000028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65" name="Freeform 487">
            <a:extLst>
              <a:ext uri="{FF2B5EF4-FFF2-40B4-BE49-F238E27FC236}">
                <a16:creationId xmlns:a16="http://schemas.microsoft.com/office/drawing/2014/main" id="{00000000-0008-0000-0000-000029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66" name="Freeform 488">
            <a:extLst>
              <a:ext uri="{FF2B5EF4-FFF2-40B4-BE49-F238E27FC236}">
                <a16:creationId xmlns:a16="http://schemas.microsoft.com/office/drawing/2014/main" id="{00000000-0008-0000-0000-00002A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067" name="Group 485">
          <a:extLst>
            <a:ext uri="{FF2B5EF4-FFF2-40B4-BE49-F238E27FC236}">
              <a16:creationId xmlns:a16="http://schemas.microsoft.com/office/drawing/2014/main" id="{00000000-0008-0000-0000-00002B040000}"/>
            </a:ext>
          </a:extLst>
        </xdr:cNvPr>
        <xdr:cNvGrpSpPr>
          <a:grpSpLocks/>
        </xdr:cNvGrpSpPr>
      </xdr:nvGrpSpPr>
      <xdr:grpSpPr bwMode="auto">
        <a:xfrm rot="80297" flipH="1">
          <a:off x="824931" y="25820914"/>
          <a:ext cx="333375" cy="310596"/>
          <a:chOff x="98" y="425"/>
          <a:chExt cx="93" cy="103"/>
        </a:xfrm>
      </xdr:grpSpPr>
      <xdr:sp macro="" textlink="">
        <xdr:nvSpPr>
          <xdr:cNvPr id="1068" name="Freeform 486">
            <a:extLst>
              <a:ext uri="{FF2B5EF4-FFF2-40B4-BE49-F238E27FC236}">
                <a16:creationId xmlns:a16="http://schemas.microsoft.com/office/drawing/2014/main" id="{00000000-0008-0000-0000-00002C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69" name="Freeform 487">
            <a:extLst>
              <a:ext uri="{FF2B5EF4-FFF2-40B4-BE49-F238E27FC236}">
                <a16:creationId xmlns:a16="http://schemas.microsoft.com/office/drawing/2014/main" id="{00000000-0008-0000-0000-00002D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70" name="Freeform 488">
            <a:extLst>
              <a:ext uri="{FF2B5EF4-FFF2-40B4-BE49-F238E27FC236}">
                <a16:creationId xmlns:a16="http://schemas.microsoft.com/office/drawing/2014/main" id="{00000000-0008-0000-0000-00002E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071" name="Group 485">
          <a:extLst>
            <a:ext uri="{FF2B5EF4-FFF2-40B4-BE49-F238E27FC236}">
              <a16:creationId xmlns:a16="http://schemas.microsoft.com/office/drawing/2014/main" id="{00000000-0008-0000-0000-00002F040000}"/>
            </a:ext>
          </a:extLst>
        </xdr:cNvPr>
        <xdr:cNvGrpSpPr>
          <a:grpSpLocks/>
        </xdr:cNvGrpSpPr>
      </xdr:nvGrpSpPr>
      <xdr:grpSpPr bwMode="auto">
        <a:xfrm rot="80297" flipH="1">
          <a:off x="824931" y="25820914"/>
          <a:ext cx="333375" cy="0"/>
          <a:chOff x="98" y="425"/>
          <a:chExt cx="93" cy="103"/>
        </a:xfrm>
      </xdr:grpSpPr>
      <xdr:sp macro="" textlink="">
        <xdr:nvSpPr>
          <xdr:cNvPr id="1072" name="Freeform 486">
            <a:extLst>
              <a:ext uri="{FF2B5EF4-FFF2-40B4-BE49-F238E27FC236}">
                <a16:creationId xmlns:a16="http://schemas.microsoft.com/office/drawing/2014/main" id="{00000000-0008-0000-0000-000030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73" name="Freeform 487">
            <a:extLst>
              <a:ext uri="{FF2B5EF4-FFF2-40B4-BE49-F238E27FC236}">
                <a16:creationId xmlns:a16="http://schemas.microsoft.com/office/drawing/2014/main" id="{00000000-0008-0000-0000-000031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74" name="Freeform 488">
            <a:extLst>
              <a:ext uri="{FF2B5EF4-FFF2-40B4-BE49-F238E27FC236}">
                <a16:creationId xmlns:a16="http://schemas.microsoft.com/office/drawing/2014/main" id="{00000000-0008-0000-0000-000032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075" name="Group 485">
          <a:extLst>
            <a:ext uri="{FF2B5EF4-FFF2-40B4-BE49-F238E27FC236}">
              <a16:creationId xmlns:a16="http://schemas.microsoft.com/office/drawing/2014/main" id="{00000000-0008-0000-0000-000033040000}"/>
            </a:ext>
          </a:extLst>
        </xdr:cNvPr>
        <xdr:cNvGrpSpPr>
          <a:grpSpLocks/>
        </xdr:cNvGrpSpPr>
      </xdr:nvGrpSpPr>
      <xdr:grpSpPr bwMode="auto">
        <a:xfrm rot="80297" flipH="1">
          <a:off x="824931" y="25820914"/>
          <a:ext cx="333375" cy="310596"/>
          <a:chOff x="98" y="425"/>
          <a:chExt cx="93" cy="103"/>
        </a:xfrm>
      </xdr:grpSpPr>
      <xdr:sp macro="" textlink="">
        <xdr:nvSpPr>
          <xdr:cNvPr id="1076" name="Freeform 486">
            <a:extLst>
              <a:ext uri="{FF2B5EF4-FFF2-40B4-BE49-F238E27FC236}">
                <a16:creationId xmlns:a16="http://schemas.microsoft.com/office/drawing/2014/main" id="{00000000-0008-0000-0000-000034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77" name="Freeform 487">
            <a:extLst>
              <a:ext uri="{FF2B5EF4-FFF2-40B4-BE49-F238E27FC236}">
                <a16:creationId xmlns:a16="http://schemas.microsoft.com/office/drawing/2014/main" id="{00000000-0008-0000-0000-000035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78" name="Freeform 488">
            <a:extLst>
              <a:ext uri="{FF2B5EF4-FFF2-40B4-BE49-F238E27FC236}">
                <a16:creationId xmlns:a16="http://schemas.microsoft.com/office/drawing/2014/main" id="{00000000-0008-0000-0000-000036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079" name="Group 485">
          <a:extLst>
            <a:ext uri="{FF2B5EF4-FFF2-40B4-BE49-F238E27FC236}">
              <a16:creationId xmlns:a16="http://schemas.microsoft.com/office/drawing/2014/main" id="{00000000-0008-0000-0000-000037040000}"/>
            </a:ext>
          </a:extLst>
        </xdr:cNvPr>
        <xdr:cNvGrpSpPr>
          <a:grpSpLocks/>
        </xdr:cNvGrpSpPr>
      </xdr:nvGrpSpPr>
      <xdr:grpSpPr bwMode="auto">
        <a:xfrm rot="80297" flipH="1">
          <a:off x="824931" y="25820914"/>
          <a:ext cx="333375" cy="0"/>
          <a:chOff x="98" y="425"/>
          <a:chExt cx="93" cy="103"/>
        </a:xfrm>
      </xdr:grpSpPr>
      <xdr:sp macro="" textlink="">
        <xdr:nvSpPr>
          <xdr:cNvPr id="1080" name="Freeform 486">
            <a:extLst>
              <a:ext uri="{FF2B5EF4-FFF2-40B4-BE49-F238E27FC236}">
                <a16:creationId xmlns:a16="http://schemas.microsoft.com/office/drawing/2014/main" id="{00000000-0008-0000-0000-000038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81" name="Freeform 487">
            <a:extLst>
              <a:ext uri="{FF2B5EF4-FFF2-40B4-BE49-F238E27FC236}">
                <a16:creationId xmlns:a16="http://schemas.microsoft.com/office/drawing/2014/main" id="{00000000-0008-0000-0000-000039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82" name="Freeform 488">
            <a:extLst>
              <a:ext uri="{FF2B5EF4-FFF2-40B4-BE49-F238E27FC236}">
                <a16:creationId xmlns:a16="http://schemas.microsoft.com/office/drawing/2014/main" id="{00000000-0008-0000-0000-00003A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083" name="Group 485">
          <a:extLst>
            <a:ext uri="{FF2B5EF4-FFF2-40B4-BE49-F238E27FC236}">
              <a16:creationId xmlns:a16="http://schemas.microsoft.com/office/drawing/2014/main" id="{00000000-0008-0000-0000-00003B040000}"/>
            </a:ext>
          </a:extLst>
        </xdr:cNvPr>
        <xdr:cNvGrpSpPr>
          <a:grpSpLocks/>
        </xdr:cNvGrpSpPr>
      </xdr:nvGrpSpPr>
      <xdr:grpSpPr bwMode="auto">
        <a:xfrm rot="80297" flipH="1">
          <a:off x="824931" y="25820914"/>
          <a:ext cx="333375" cy="310596"/>
          <a:chOff x="98" y="425"/>
          <a:chExt cx="93" cy="103"/>
        </a:xfrm>
      </xdr:grpSpPr>
      <xdr:sp macro="" textlink="">
        <xdr:nvSpPr>
          <xdr:cNvPr id="1084" name="Freeform 486">
            <a:extLst>
              <a:ext uri="{FF2B5EF4-FFF2-40B4-BE49-F238E27FC236}">
                <a16:creationId xmlns:a16="http://schemas.microsoft.com/office/drawing/2014/main" id="{00000000-0008-0000-0000-00003C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85" name="Freeform 487">
            <a:extLst>
              <a:ext uri="{FF2B5EF4-FFF2-40B4-BE49-F238E27FC236}">
                <a16:creationId xmlns:a16="http://schemas.microsoft.com/office/drawing/2014/main" id="{00000000-0008-0000-0000-00003D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86" name="Freeform 488">
            <a:extLst>
              <a:ext uri="{FF2B5EF4-FFF2-40B4-BE49-F238E27FC236}">
                <a16:creationId xmlns:a16="http://schemas.microsoft.com/office/drawing/2014/main" id="{00000000-0008-0000-0000-00003E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087" name="Group 485">
          <a:extLst>
            <a:ext uri="{FF2B5EF4-FFF2-40B4-BE49-F238E27FC236}">
              <a16:creationId xmlns:a16="http://schemas.microsoft.com/office/drawing/2014/main" id="{00000000-0008-0000-0000-00003F040000}"/>
            </a:ext>
          </a:extLst>
        </xdr:cNvPr>
        <xdr:cNvGrpSpPr>
          <a:grpSpLocks/>
        </xdr:cNvGrpSpPr>
      </xdr:nvGrpSpPr>
      <xdr:grpSpPr bwMode="auto">
        <a:xfrm rot="80297" flipH="1">
          <a:off x="824931" y="25820914"/>
          <a:ext cx="333375" cy="0"/>
          <a:chOff x="98" y="425"/>
          <a:chExt cx="93" cy="103"/>
        </a:xfrm>
      </xdr:grpSpPr>
      <xdr:sp macro="" textlink="">
        <xdr:nvSpPr>
          <xdr:cNvPr id="1088" name="Freeform 486">
            <a:extLst>
              <a:ext uri="{FF2B5EF4-FFF2-40B4-BE49-F238E27FC236}">
                <a16:creationId xmlns:a16="http://schemas.microsoft.com/office/drawing/2014/main" id="{00000000-0008-0000-0000-000040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89" name="Freeform 487">
            <a:extLst>
              <a:ext uri="{FF2B5EF4-FFF2-40B4-BE49-F238E27FC236}">
                <a16:creationId xmlns:a16="http://schemas.microsoft.com/office/drawing/2014/main" id="{00000000-0008-0000-0000-000041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90" name="Freeform 488">
            <a:extLst>
              <a:ext uri="{FF2B5EF4-FFF2-40B4-BE49-F238E27FC236}">
                <a16:creationId xmlns:a16="http://schemas.microsoft.com/office/drawing/2014/main" id="{00000000-0008-0000-0000-000042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091" name="Group 485">
          <a:extLst>
            <a:ext uri="{FF2B5EF4-FFF2-40B4-BE49-F238E27FC236}">
              <a16:creationId xmlns:a16="http://schemas.microsoft.com/office/drawing/2014/main" id="{00000000-0008-0000-0000-000043040000}"/>
            </a:ext>
          </a:extLst>
        </xdr:cNvPr>
        <xdr:cNvGrpSpPr>
          <a:grpSpLocks/>
        </xdr:cNvGrpSpPr>
      </xdr:nvGrpSpPr>
      <xdr:grpSpPr bwMode="auto">
        <a:xfrm rot="80297" flipH="1">
          <a:off x="824931" y="25820914"/>
          <a:ext cx="333375" cy="310596"/>
          <a:chOff x="98" y="425"/>
          <a:chExt cx="93" cy="103"/>
        </a:xfrm>
      </xdr:grpSpPr>
      <xdr:sp macro="" textlink="">
        <xdr:nvSpPr>
          <xdr:cNvPr id="1092" name="Freeform 486">
            <a:extLst>
              <a:ext uri="{FF2B5EF4-FFF2-40B4-BE49-F238E27FC236}">
                <a16:creationId xmlns:a16="http://schemas.microsoft.com/office/drawing/2014/main" id="{00000000-0008-0000-0000-000044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93" name="Freeform 487">
            <a:extLst>
              <a:ext uri="{FF2B5EF4-FFF2-40B4-BE49-F238E27FC236}">
                <a16:creationId xmlns:a16="http://schemas.microsoft.com/office/drawing/2014/main" id="{00000000-0008-0000-0000-000045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94" name="Freeform 488">
            <a:extLst>
              <a:ext uri="{FF2B5EF4-FFF2-40B4-BE49-F238E27FC236}">
                <a16:creationId xmlns:a16="http://schemas.microsoft.com/office/drawing/2014/main" id="{00000000-0008-0000-0000-000046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095" name="Group 485">
          <a:extLst>
            <a:ext uri="{FF2B5EF4-FFF2-40B4-BE49-F238E27FC236}">
              <a16:creationId xmlns:a16="http://schemas.microsoft.com/office/drawing/2014/main" id="{00000000-0008-0000-0000-000047040000}"/>
            </a:ext>
          </a:extLst>
        </xdr:cNvPr>
        <xdr:cNvGrpSpPr>
          <a:grpSpLocks/>
        </xdr:cNvGrpSpPr>
      </xdr:nvGrpSpPr>
      <xdr:grpSpPr bwMode="auto">
        <a:xfrm rot="80297" flipH="1">
          <a:off x="824931" y="25820914"/>
          <a:ext cx="333375" cy="0"/>
          <a:chOff x="98" y="425"/>
          <a:chExt cx="93" cy="103"/>
        </a:xfrm>
      </xdr:grpSpPr>
      <xdr:sp macro="" textlink="">
        <xdr:nvSpPr>
          <xdr:cNvPr id="1096" name="Freeform 486">
            <a:extLst>
              <a:ext uri="{FF2B5EF4-FFF2-40B4-BE49-F238E27FC236}">
                <a16:creationId xmlns:a16="http://schemas.microsoft.com/office/drawing/2014/main" id="{00000000-0008-0000-0000-000048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97" name="Freeform 487">
            <a:extLst>
              <a:ext uri="{FF2B5EF4-FFF2-40B4-BE49-F238E27FC236}">
                <a16:creationId xmlns:a16="http://schemas.microsoft.com/office/drawing/2014/main" id="{00000000-0008-0000-0000-000049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098" name="Freeform 488">
            <a:extLst>
              <a:ext uri="{FF2B5EF4-FFF2-40B4-BE49-F238E27FC236}">
                <a16:creationId xmlns:a16="http://schemas.microsoft.com/office/drawing/2014/main" id="{00000000-0008-0000-0000-00004A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099" name="Group 485">
          <a:extLst>
            <a:ext uri="{FF2B5EF4-FFF2-40B4-BE49-F238E27FC236}">
              <a16:creationId xmlns:a16="http://schemas.microsoft.com/office/drawing/2014/main" id="{00000000-0008-0000-0000-00004B040000}"/>
            </a:ext>
          </a:extLst>
        </xdr:cNvPr>
        <xdr:cNvGrpSpPr>
          <a:grpSpLocks/>
        </xdr:cNvGrpSpPr>
      </xdr:nvGrpSpPr>
      <xdr:grpSpPr bwMode="auto">
        <a:xfrm rot="80297" flipH="1">
          <a:off x="824931" y="25820914"/>
          <a:ext cx="333375" cy="310596"/>
          <a:chOff x="98" y="425"/>
          <a:chExt cx="93" cy="103"/>
        </a:xfrm>
      </xdr:grpSpPr>
      <xdr:sp macro="" textlink="">
        <xdr:nvSpPr>
          <xdr:cNvPr id="1100" name="Freeform 486">
            <a:extLst>
              <a:ext uri="{FF2B5EF4-FFF2-40B4-BE49-F238E27FC236}">
                <a16:creationId xmlns:a16="http://schemas.microsoft.com/office/drawing/2014/main" id="{00000000-0008-0000-0000-00004C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01" name="Freeform 487">
            <a:extLst>
              <a:ext uri="{FF2B5EF4-FFF2-40B4-BE49-F238E27FC236}">
                <a16:creationId xmlns:a16="http://schemas.microsoft.com/office/drawing/2014/main" id="{00000000-0008-0000-0000-00004D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02" name="Freeform 488">
            <a:extLst>
              <a:ext uri="{FF2B5EF4-FFF2-40B4-BE49-F238E27FC236}">
                <a16:creationId xmlns:a16="http://schemas.microsoft.com/office/drawing/2014/main" id="{00000000-0008-0000-0000-00004E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103" name="Group 485">
          <a:extLst>
            <a:ext uri="{FF2B5EF4-FFF2-40B4-BE49-F238E27FC236}">
              <a16:creationId xmlns:a16="http://schemas.microsoft.com/office/drawing/2014/main" id="{00000000-0008-0000-0000-00004F040000}"/>
            </a:ext>
          </a:extLst>
        </xdr:cNvPr>
        <xdr:cNvGrpSpPr>
          <a:grpSpLocks/>
        </xdr:cNvGrpSpPr>
      </xdr:nvGrpSpPr>
      <xdr:grpSpPr bwMode="auto">
        <a:xfrm rot="80297" flipH="1">
          <a:off x="824931" y="25820914"/>
          <a:ext cx="333375" cy="0"/>
          <a:chOff x="98" y="425"/>
          <a:chExt cx="93" cy="103"/>
        </a:xfrm>
      </xdr:grpSpPr>
      <xdr:sp macro="" textlink="">
        <xdr:nvSpPr>
          <xdr:cNvPr id="1104" name="Freeform 486">
            <a:extLst>
              <a:ext uri="{FF2B5EF4-FFF2-40B4-BE49-F238E27FC236}">
                <a16:creationId xmlns:a16="http://schemas.microsoft.com/office/drawing/2014/main" id="{00000000-0008-0000-0000-000050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05" name="Freeform 487">
            <a:extLst>
              <a:ext uri="{FF2B5EF4-FFF2-40B4-BE49-F238E27FC236}">
                <a16:creationId xmlns:a16="http://schemas.microsoft.com/office/drawing/2014/main" id="{00000000-0008-0000-0000-000051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06" name="Freeform 488">
            <a:extLst>
              <a:ext uri="{FF2B5EF4-FFF2-40B4-BE49-F238E27FC236}">
                <a16:creationId xmlns:a16="http://schemas.microsoft.com/office/drawing/2014/main" id="{00000000-0008-0000-0000-000052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107" name="Group 485">
          <a:extLst>
            <a:ext uri="{FF2B5EF4-FFF2-40B4-BE49-F238E27FC236}">
              <a16:creationId xmlns:a16="http://schemas.microsoft.com/office/drawing/2014/main" id="{00000000-0008-0000-0000-000053040000}"/>
            </a:ext>
          </a:extLst>
        </xdr:cNvPr>
        <xdr:cNvGrpSpPr>
          <a:grpSpLocks/>
        </xdr:cNvGrpSpPr>
      </xdr:nvGrpSpPr>
      <xdr:grpSpPr bwMode="auto">
        <a:xfrm rot="80297" flipH="1">
          <a:off x="824931" y="25820914"/>
          <a:ext cx="333375" cy="310596"/>
          <a:chOff x="98" y="425"/>
          <a:chExt cx="93" cy="103"/>
        </a:xfrm>
      </xdr:grpSpPr>
      <xdr:sp macro="" textlink="">
        <xdr:nvSpPr>
          <xdr:cNvPr id="1108" name="Freeform 486">
            <a:extLst>
              <a:ext uri="{FF2B5EF4-FFF2-40B4-BE49-F238E27FC236}">
                <a16:creationId xmlns:a16="http://schemas.microsoft.com/office/drawing/2014/main" id="{00000000-0008-0000-0000-000054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09" name="Freeform 487">
            <a:extLst>
              <a:ext uri="{FF2B5EF4-FFF2-40B4-BE49-F238E27FC236}">
                <a16:creationId xmlns:a16="http://schemas.microsoft.com/office/drawing/2014/main" id="{00000000-0008-0000-0000-000055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10" name="Freeform 488">
            <a:extLst>
              <a:ext uri="{FF2B5EF4-FFF2-40B4-BE49-F238E27FC236}">
                <a16:creationId xmlns:a16="http://schemas.microsoft.com/office/drawing/2014/main" id="{00000000-0008-0000-0000-000056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111" name="Group 485">
          <a:extLst>
            <a:ext uri="{FF2B5EF4-FFF2-40B4-BE49-F238E27FC236}">
              <a16:creationId xmlns:a16="http://schemas.microsoft.com/office/drawing/2014/main" id="{00000000-0008-0000-0000-000057040000}"/>
            </a:ext>
          </a:extLst>
        </xdr:cNvPr>
        <xdr:cNvGrpSpPr>
          <a:grpSpLocks/>
        </xdr:cNvGrpSpPr>
      </xdr:nvGrpSpPr>
      <xdr:grpSpPr bwMode="auto">
        <a:xfrm rot="80297" flipH="1">
          <a:off x="824931" y="25820914"/>
          <a:ext cx="333375" cy="0"/>
          <a:chOff x="98" y="425"/>
          <a:chExt cx="93" cy="103"/>
        </a:xfrm>
      </xdr:grpSpPr>
      <xdr:sp macro="" textlink="">
        <xdr:nvSpPr>
          <xdr:cNvPr id="1112" name="Freeform 486">
            <a:extLst>
              <a:ext uri="{FF2B5EF4-FFF2-40B4-BE49-F238E27FC236}">
                <a16:creationId xmlns:a16="http://schemas.microsoft.com/office/drawing/2014/main" id="{00000000-0008-0000-0000-000058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13" name="Freeform 487">
            <a:extLst>
              <a:ext uri="{FF2B5EF4-FFF2-40B4-BE49-F238E27FC236}">
                <a16:creationId xmlns:a16="http://schemas.microsoft.com/office/drawing/2014/main" id="{00000000-0008-0000-0000-000059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14" name="Freeform 488">
            <a:extLst>
              <a:ext uri="{FF2B5EF4-FFF2-40B4-BE49-F238E27FC236}">
                <a16:creationId xmlns:a16="http://schemas.microsoft.com/office/drawing/2014/main" id="{00000000-0008-0000-0000-00005A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115" name="Group 485">
          <a:extLst>
            <a:ext uri="{FF2B5EF4-FFF2-40B4-BE49-F238E27FC236}">
              <a16:creationId xmlns:a16="http://schemas.microsoft.com/office/drawing/2014/main" id="{00000000-0008-0000-0000-00005B040000}"/>
            </a:ext>
          </a:extLst>
        </xdr:cNvPr>
        <xdr:cNvGrpSpPr>
          <a:grpSpLocks/>
        </xdr:cNvGrpSpPr>
      </xdr:nvGrpSpPr>
      <xdr:grpSpPr bwMode="auto">
        <a:xfrm rot="80297" flipH="1">
          <a:off x="824931" y="25820914"/>
          <a:ext cx="333375" cy="310596"/>
          <a:chOff x="98" y="425"/>
          <a:chExt cx="93" cy="103"/>
        </a:xfrm>
      </xdr:grpSpPr>
      <xdr:sp macro="" textlink="">
        <xdr:nvSpPr>
          <xdr:cNvPr id="1116" name="Freeform 486">
            <a:extLst>
              <a:ext uri="{FF2B5EF4-FFF2-40B4-BE49-F238E27FC236}">
                <a16:creationId xmlns:a16="http://schemas.microsoft.com/office/drawing/2014/main" id="{00000000-0008-0000-0000-00005C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17" name="Freeform 487">
            <a:extLst>
              <a:ext uri="{FF2B5EF4-FFF2-40B4-BE49-F238E27FC236}">
                <a16:creationId xmlns:a16="http://schemas.microsoft.com/office/drawing/2014/main" id="{00000000-0008-0000-0000-00005D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18" name="Freeform 488">
            <a:extLst>
              <a:ext uri="{FF2B5EF4-FFF2-40B4-BE49-F238E27FC236}">
                <a16:creationId xmlns:a16="http://schemas.microsoft.com/office/drawing/2014/main" id="{00000000-0008-0000-0000-00005E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119" name="Group 485">
          <a:extLst>
            <a:ext uri="{FF2B5EF4-FFF2-40B4-BE49-F238E27FC236}">
              <a16:creationId xmlns:a16="http://schemas.microsoft.com/office/drawing/2014/main" id="{00000000-0008-0000-0000-00005F040000}"/>
            </a:ext>
          </a:extLst>
        </xdr:cNvPr>
        <xdr:cNvGrpSpPr>
          <a:grpSpLocks/>
        </xdr:cNvGrpSpPr>
      </xdr:nvGrpSpPr>
      <xdr:grpSpPr bwMode="auto">
        <a:xfrm rot="80297" flipH="1">
          <a:off x="824931" y="25820914"/>
          <a:ext cx="333375" cy="0"/>
          <a:chOff x="98" y="425"/>
          <a:chExt cx="93" cy="103"/>
        </a:xfrm>
      </xdr:grpSpPr>
      <xdr:sp macro="" textlink="">
        <xdr:nvSpPr>
          <xdr:cNvPr id="1120" name="Freeform 486">
            <a:extLst>
              <a:ext uri="{FF2B5EF4-FFF2-40B4-BE49-F238E27FC236}">
                <a16:creationId xmlns:a16="http://schemas.microsoft.com/office/drawing/2014/main" id="{00000000-0008-0000-0000-000060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21" name="Freeform 487">
            <a:extLst>
              <a:ext uri="{FF2B5EF4-FFF2-40B4-BE49-F238E27FC236}">
                <a16:creationId xmlns:a16="http://schemas.microsoft.com/office/drawing/2014/main" id="{00000000-0008-0000-0000-000061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22" name="Freeform 488">
            <a:extLst>
              <a:ext uri="{FF2B5EF4-FFF2-40B4-BE49-F238E27FC236}">
                <a16:creationId xmlns:a16="http://schemas.microsoft.com/office/drawing/2014/main" id="{00000000-0008-0000-0000-000062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123" name="Group 485">
          <a:extLst>
            <a:ext uri="{FF2B5EF4-FFF2-40B4-BE49-F238E27FC236}">
              <a16:creationId xmlns:a16="http://schemas.microsoft.com/office/drawing/2014/main" id="{00000000-0008-0000-0000-000063040000}"/>
            </a:ext>
          </a:extLst>
        </xdr:cNvPr>
        <xdr:cNvGrpSpPr>
          <a:grpSpLocks/>
        </xdr:cNvGrpSpPr>
      </xdr:nvGrpSpPr>
      <xdr:grpSpPr bwMode="auto">
        <a:xfrm rot="80297" flipH="1">
          <a:off x="824931" y="25820914"/>
          <a:ext cx="333375" cy="310596"/>
          <a:chOff x="98" y="425"/>
          <a:chExt cx="93" cy="103"/>
        </a:xfrm>
      </xdr:grpSpPr>
      <xdr:sp macro="" textlink="">
        <xdr:nvSpPr>
          <xdr:cNvPr id="1124" name="Freeform 486">
            <a:extLst>
              <a:ext uri="{FF2B5EF4-FFF2-40B4-BE49-F238E27FC236}">
                <a16:creationId xmlns:a16="http://schemas.microsoft.com/office/drawing/2014/main" id="{00000000-0008-0000-0000-000064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25" name="Freeform 487">
            <a:extLst>
              <a:ext uri="{FF2B5EF4-FFF2-40B4-BE49-F238E27FC236}">
                <a16:creationId xmlns:a16="http://schemas.microsoft.com/office/drawing/2014/main" id="{00000000-0008-0000-0000-000065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26" name="Freeform 488">
            <a:extLst>
              <a:ext uri="{FF2B5EF4-FFF2-40B4-BE49-F238E27FC236}">
                <a16:creationId xmlns:a16="http://schemas.microsoft.com/office/drawing/2014/main" id="{00000000-0008-0000-0000-000066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127" name="Group 485">
          <a:extLst>
            <a:ext uri="{FF2B5EF4-FFF2-40B4-BE49-F238E27FC236}">
              <a16:creationId xmlns:a16="http://schemas.microsoft.com/office/drawing/2014/main" id="{00000000-0008-0000-0000-000067040000}"/>
            </a:ext>
          </a:extLst>
        </xdr:cNvPr>
        <xdr:cNvGrpSpPr>
          <a:grpSpLocks/>
        </xdr:cNvGrpSpPr>
      </xdr:nvGrpSpPr>
      <xdr:grpSpPr bwMode="auto">
        <a:xfrm rot="80297" flipH="1">
          <a:off x="824931" y="25820914"/>
          <a:ext cx="333375" cy="0"/>
          <a:chOff x="98" y="425"/>
          <a:chExt cx="93" cy="103"/>
        </a:xfrm>
      </xdr:grpSpPr>
      <xdr:sp macro="" textlink="">
        <xdr:nvSpPr>
          <xdr:cNvPr id="1128" name="Freeform 486">
            <a:extLst>
              <a:ext uri="{FF2B5EF4-FFF2-40B4-BE49-F238E27FC236}">
                <a16:creationId xmlns:a16="http://schemas.microsoft.com/office/drawing/2014/main" id="{00000000-0008-0000-0000-000068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29" name="Freeform 487">
            <a:extLst>
              <a:ext uri="{FF2B5EF4-FFF2-40B4-BE49-F238E27FC236}">
                <a16:creationId xmlns:a16="http://schemas.microsoft.com/office/drawing/2014/main" id="{00000000-0008-0000-0000-000069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30" name="Freeform 488">
            <a:extLst>
              <a:ext uri="{FF2B5EF4-FFF2-40B4-BE49-F238E27FC236}">
                <a16:creationId xmlns:a16="http://schemas.microsoft.com/office/drawing/2014/main" id="{00000000-0008-0000-0000-00006A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131" name="Group 485">
          <a:extLst>
            <a:ext uri="{FF2B5EF4-FFF2-40B4-BE49-F238E27FC236}">
              <a16:creationId xmlns:a16="http://schemas.microsoft.com/office/drawing/2014/main" id="{00000000-0008-0000-0000-00006B040000}"/>
            </a:ext>
          </a:extLst>
        </xdr:cNvPr>
        <xdr:cNvGrpSpPr>
          <a:grpSpLocks/>
        </xdr:cNvGrpSpPr>
      </xdr:nvGrpSpPr>
      <xdr:grpSpPr bwMode="auto">
        <a:xfrm rot="80297" flipH="1">
          <a:off x="824931" y="25820914"/>
          <a:ext cx="333375" cy="310596"/>
          <a:chOff x="98" y="425"/>
          <a:chExt cx="93" cy="103"/>
        </a:xfrm>
      </xdr:grpSpPr>
      <xdr:sp macro="" textlink="">
        <xdr:nvSpPr>
          <xdr:cNvPr id="1132" name="Freeform 486">
            <a:extLst>
              <a:ext uri="{FF2B5EF4-FFF2-40B4-BE49-F238E27FC236}">
                <a16:creationId xmlns:a16="http://schemas.microsoft.com/office/drawing/2014/main" id="{00000000-0008-0000-0000-00006C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33" name="Freeform 487">
            <a:extLst>
              <a:ext uri="{FF2B5EF4-FFF2-40B4-BE49-F238E27FC236}">
                <a16:creationId xmlns:a16="http://schemas.microsoft.com/office/drawing/2014/main" id="{00000000-0008-0000-0000-00006D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34" name="Freeform 488">
            <a:extLst>
              <a:ext uri="{FF2B5EF4-FFF2-40B4-BE49-F238E27FC236}">
                <a16:creationId xmlns:a16="http://schemas.microsoft.com/office/drawing/2014/main" id="{00000000-0008-0000-0000-00006E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0</xdr:rowOff>
    </xdr:to>
    <xdr:grpSp>
      <xdr:nvGrpSpPr>
        <xdr:cNvPr id="1135" name="Group 485">
          <a:extLst>
            <a:ext uri="{FF2B5EF4-FFF2-40B4-BE49-F238E27FC236}">
              <a16:creationId xmlns:a16="http://schemas.microsoft.com/office/drawing/2014/main" id="{00000000-0008-0000-0000-00006F040000}"/>
            </a:ext>
          </a:extLst>
        </xdr:cNvPr>
        <xdr:cNvGrpSpPr>
          <a:grpSpLocks/>
        </xdr:cNvGrpSpPr>
      </xdr:nvGrpSpPr>
      <xdr:grpSpPr bwMode="auto">
        <a:xfrm rot="80297" flipH="1">
          <a:off x="824931" y="25820914"/>
          <a:ext cx="333375" cy="0"/>
          <a:chOff x="98" y="425"/>
          <a:chExt cx="93" cy="103"/>
        </a:xfrm>
      </xdr:grpSpPr>
      <xdr:sp macro="" textlink="">
        <xdr:nvSpPr>
          <xdr:cNvPr id="1136" name="Freeform 486">
            <a:extLst>
              <a:ext uri="{FF2B5EF4-FFF2-40B4-BE49-F238E27FC236}">
                <a16:creationId xmlns:a16="http://schemas.microsoft.com/office/drawing/2014/main" id="{00000000-0008-0000-0000-000070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37" name="Freeform 487">
            <a:extLst>
              <a:ext uri="{FF2B5EF4-FFF2-40B4-BE49-F238E27FC236}">
                <a16:creationId xmlns:a16="http://schemas.microsoft.com/office/drawing/2014/main" id="{00000000-0008-0000-0000-000071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38" name="Freeform 488">
            <a:extLst>
              <a:ext uri="{FF2B5EF4-FFF2-40B4-BE49-F238E27FC236}">
                <a16:creationId xmlns:a16="http://schemas.microsoft.com/office/drawing/2014/main" id="{00000000-0008-0000-0000-000072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72</xdr:row>
      <xdr:rowOff>0</xdr:rowOff>
    </xdr:from>
    <xdr:to>
      <xdr:col>1</xdr:col>
      <xdr:colOff>559592</xdr:colOff>
      <xdr:row>72</xdr:row>
      <xdr:rowOff>310596</xdr:rowOff>
    </xdr:to>
    <xdr:grpSp>
      <xdr:nvGrpSpPr>
        <xdr:cNvPr id="1139" name="Group 485">
          <a:extLst>
            <a:ext uri="{FF2B5EF4-FFF2-40B4-BE49-F238E27FC236}">
              <a16:creationId xmlns:a16="http://schemas.microsoft.com/office/drawing/2014/main" id="{00000000-0008-0000-0000-000073040000}"/>
            </a:ext>
          </a:extLst>
        </xdr:cNvPr>
        <xdr:cNvGrpSpPr>
          <a:grpSpLocks/>
        </xdr:cNvGrpSpPr>
      </xdr:nvGrpSpPr>
      <xdr:grpSpPr bwMode="auto">
        <a:xfrm rot="80297" flipH="1">
          <a:off x="824931" y="25820914"/>
          <a:ext cx="333375" cy="310596"/>
          <a:chOff x="98" y="425"/>
          <a:chExt cx="93" cy="103"/>
        </a:xfrm>
      </xdr:grpSpPr>
      <xdr:sp macro="" textlink="">
        <xdr:nvSpPr>
          <xdr:cNvPr id="1140" name="Freeform 486">
            <a:extLst>
              <a:ext uri="{FF2B5EF4-FFF2-40B4-BE49-F238E27FC236}">
                <a16:creationId xmlns:a16="http://schemas.microsoft.com/office/drawing/2014/main" id="{00000000-0008-0000-0000-000074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41" name="Freeform 487">
            <a:extLst>
              <a:ext uri="{FF2B5EF4-FFF2-40B4-BE49-F238E27FC236}">
                <a16:creationId xmlns:a16="http://schemas.microsoft.com/office/drawing/2014/main" id="{00000000-0008-0000-0000-000075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42" name="Freeform 488">
            <a:extLst>
              <a:ext uri="{FF2B5EF4-FFF2-40B4-BE49-F238E27FC236}">
                <a16:creationId xmlns:a16="http://schemas.microsoft.com/office/drawing/2014/main" id="{00000000-0008-0000-0000-000076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563563</xdr:colOff>
      <xdr:row>71</xdr:row>
      <xdr:rowOff>0</xdr:rowOff>
    </xdr:from>
    <xdr:to>
      <xdr:col>1</xdr:col>
      <xdr:colOff>839524</xdr:colOff>
      <xdr:row>72</xdr:row>
      <xdr:rowOff>0</xdr:rowOff>
    </xdr:to>
    <xdr:grpSp>
      <xdr:nvGrpSpPr>
        <xdr:cNvPr id="1143" name="Group 466">
          <a:extLst>
            <a:ext uri="{FF2B5EF4-FFF2-40B4-BE49-F238E27FC236}">
              <a16:creationId xmlns:a16="http://schemas.microsoft.com/office/drawing/2014/main" id="{00000000-0008-0000-0000-000077040000}"/>
            </a:ext>
          </a:extLst>
        </xdr:cNvPr>
        <xdr:cNvGrpSpPr>
          <a:grpSpLocks/>
        </xdr:cNvGrpSpPr>
      </xdr:nvGrpSpPr>
      <xdr:grpSpPr bwMode="auto">
        <a:xfrm>
          <a:off x="1162277" y="25505229"/>
          <a:ext cx="275961" cy="315685"/>
          <a:chOff x="401" y="230"/>
          <a:chExt cx="95" cy="183"/>
        </a:xfrm>
        <a:solidFill>
          <a:srgbClr val="FFC000"/>
        </a:solidFill>
      </xdr:grpSpPr>
      <xdr:grpSp>
        <xdr:nvGrpSpPr>
          <xdr:cNvPr id="1144" name="Group 467">
            <a:extLst>
              <a:ext uri="{FF2B5EF4-FFF2-40B4-BE49-F238E27FC236}">
                <a16:creationId xmlns:a16="http://schemas.microsoft.com/office/drawing/2014/main" id="{00000000-0008-0000-0000-000078040000}"/>
              </a:ext>
            </a:extLst>
          </xdr:cNvPr>
          <xdr:cNvGrpSpPr>
            <a:grpSpLocks/>
          </xdr:cNvGrpSpPr>
        </xdr:nvGrpSpPr>
        <xdr:grpSpPr bwMode="auto">
          <a:xfrm>
            <a:off x="401" y="230"/>
            <a:ext cx="95" cy="183"/>
            <a:chOff x="390" y="230"/>
            <a:chExt cx="182" cy="165"/>
          </a:xfrm>
          <a:grpFill/>
        </xdr:grpSpPr>
        <xdr:sp macro="" textlink="">
          <xdr:nvSpPr>
            <xdr:cNvPr id="1155" name="Freeform 468">
              <a:extLst>
                <a:ext uri="{FF2B5EF4-FFF2-40B4-BE49-F238E27FC236}">
                  <a16:creationId xmlns:a16="http://schemas.microsoft.com/office/drawing/2014/main" id="{00000000-0008-0000-0000-00008304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156" name="Rectangle 469">
              <a:extLst>
                <a:ext uri="{FF2B5EF4-FFF2-40B4-BE49-F238E27FC236}">
                  <a16:creationId xmlns:a16="http://schemas.microsoft.com/office/drawing/2014/main" id="{00000000-0008-0000-0000-000084040000}"/>
                </a:ext>
              </a:extLst>
            </xdr:cNvPr>
            <xdr:cNvSpPr>
              <a:spLocks noChangeArrowheads="1"/>
            </xdr:cNvSpPr>
          </xdr:nvSpPr>
          <xdr:spPr bwMode="auto">
            <a:xfrm>
              <a:off x="391" y="237"/>
              <a:ext cx="180" cy="152"/>
            </a:xfrm>
            <a:prstGeom prst="rect">
              <a:avLst/>
            </a:prstGeom>
            <a:grp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157" name="Freeform 470">
              <a:extLst>
                <a:ext uri="{FF2B5EF4-FFF2-40B4-BE49-F238E27FC236}">
                  <a16:creationId xmlns:a16="http://schemas.microsoft.com/office/drawing/2014/main" id="{00000000-0008-0000-0000-00008504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1145" name="Group 471">
            <a:extLst>
              <a:ext uri="{FF2B5EF4-FFF2-40B4-BE49-F238E27FC236}">
                <a16:creationId xmlns:a16="http://schemas.microsoft.com/office/drawing/2014/main" id="{00000000-0008-0000-0000-000079040000}"/>
              </a:ext>
            </a:extLst>
          </xdr:cNvPr>
          <xdr:cNvGrpSpPr>
            <a:grpSpLocks/>
          </xdr:cNvGrpSpPr>
        </xdr:nvGrpSpPr>
        <xdr:grpSpPr bwMode="auto">
          <a:xfrm>
            <a:off x="402" y="246"/>
            <a:ext cx="94" cy="152"/>
            <a:chOff x="402" y="246"/>
            <a:chExt cx="94" cy="152"/>
          </a:xfrm>
          <a:grpFill/>
        </xdr:grpSpPr>
        <xdr:sp macro="" textlink="">
          <xdr:nvSpPr>
            <xdr:cNvPr id="1146" name="Oval 472">
              <a:extLst>
                <a:ext uri="{FF2B5EF4-FFF2-40B4-BE49-F238E27FC236}">
                  <a16:creationId xmlns:a16="http://schemas.microsoft.com/office/drawing/2014/main" id="{00000000-0008-0000-0000-00007A040000}"/>
                </a:ext>
              </a:extLst>
            </xdr:cNvPr>
            <xdr:cNvSpPr>
              <a:spLocks noChangeArrowheads="1"/>
            </xdr:cNvSpPr>
          </xdr:nvSpPr>
          <xdr:spPr bwMode="auto">
            <a:xfrm>
              <a:off x="439" y="246"/>
              <a:ext cx="19" cy="17"/>
            </a:xfrm>
            <a:prstGeom prst="ellipse">
              <a:avLst/>
            </a:prstGeom>
            <a:grpFill/>
            <a:ln w="9525">
              <a:solidFill>
                <a:srgbClr val="000000"/>
              </a:solidFill>
              <a:round/>
              <a:headEnd/>
              <a:tailEnd/>
            </a:ln>
          </xdr:spPr>
        </xdr:sp>
        <xdr:sp macro="" textlink="">
          <xdr:nvSpPr>
            <xdr:cNvPr id="1147" name="AutoShape 473">
              <a:extLst>
                <a:ext uri="{FF2B5EF4-FFF2-40B4-BE49-F238E27FC236}">
                  <a16:creationId xmlns:a16="http://schemas.microsoft.com/office/drawing/2014/main" id="{00000000-0008-0000-0000-00007B040000}"/>
                </a:ext>
              </a:extLst>
            </xdr:cNvPr>
            <xdr:cNvSpPr>
              <a:spLocks noChangeArrowheads="1"/>
            </xdr:cNvSpPr>
          </xdr:nvSpPr>
          <xdr:spPr bwMode="auto">
            <a:xfrm>
              <a:off x="402" y="274"/>
              <a:ext cx="12" cy="17"/>
            </a:xfrm>
            <a:prstGeom prst="flowChartDelay">
              <a:avLst/>
            </a:prstGeom>
            <a:grpFill/>
            <a:ln w="9525">
              <a:solidFill>
                <a:srgbClr val="000000"/>
              </a:solidFill>
              <a:miter lim="800000"/>
              <a:headEnd/>
              <a:tailEnd/>
            </a:ln>
          </xdr:spPr>
        </xdr:sp>
        <xdr:sp macro="" textlink="">
          <xdr:nvSpPr>
            <xdr:cNvPr id="1148" name="Oval 474">
              <a:extLst>
                <a:ext uri="{FF2B5EF4-FFF2-40B4-BE49-F238E27FC236}">
                  <a16:creationId xmlns:a16="http://schemas.microsoft.com/office/drawing/2014/main" id="{00000000-0008-0000-0000-00007C040000}"/>
                </a:ext>
              </a:extLst>
            </xdr:cNvPr>
            <xdr:cNvSpPr>
              <a:spLocks noChangeArrowheads="1"/>
            </xdr:cNvSpPr>
          </xdr:nvSpPr>
          <xdr:spPr bwMode="auto">
            <a:xfrm>
              <a:off x="439" y="300"/>
              <a:ext cx="19" cy="17"/>
            </a:xfrm>
            <a:prstGeom prst="ellipse">
              <a:avLst/>
            </a:prstGeom>
            <a:grpFill/>
            <a:ln w="9525">
              <a:solidFill>
                <a:srgbClr val="000000"/>
              </a:solidFill>
              <a:round/>
              <a:headEnd/>
              <a:tailEnd/>
            </a:ln>
          </xdr:spPr>
        </xdr:sp>
        <xdr:sp macro="" textlink="">
          <xdr:nvSpPr>
            <xdr:cNvPr id="1149" name="AutoShape 475">
              <a:extLst>
                <a:ext uri="{FF2B5EF4-FFF2-40B4-BE49-F238E27FC236}">
                  <a16:creationId xmlns:a16="http://schemas.microsoft.com/office/drawing/2014/main" id="{00000000-0008-0000-0000-00007D040000}"/>
                </a:ext>
              </a:extLst>
            </xdr:cNvPr>
            <xdr:cNvSpPr>
              <a:spLocks noChangeArrowheads="1"/>
            </xdr:cNvSpPr>
          </xdr:nvSpPr>
          <xdr:spPr bwMode="auto">
            <a:xfrm flipH="1">
              <a:off x="484" y="275"/>
              <a:ext cx="12" cy="17"/>
            </a:xfrm>
            <a:prstGeom prst="flowChartDelay">
              <a:avLst/>
            </a:prstGeom>
            <a:grpFill/>
            <a:ln w="9525">
              <a:solidFill>
                <a:srgbClr val="000000"/>
              </a:solidFill>
              <a:miter lim="800000"/>
              <a:headEnd/>
              <a:tailEnd/>
            </a:ln>
          </xdr:spPr>
        </xdr:sp>
        <xdr:sp macro="" textlink="">
          <xdr:nvSpPr>
            <xdr:cNvPr id="1150" name="AutoShape 476">
              <a:extLst>
                <a:ext uri="{FF2B5EF4-FFF2-40B4-BE49-F238E27FC236}">
                  <a16:creationId xmlns:a16="http://schemas.microsoft.com/office/drawing/2014/main" id="{00000000-0008-0000-0000-00007E040000}"/>
                </a:ext>
              </a:extLst>
            </xdr:cNvPr>
            <xdr:cNvSpPr>
              <a:spLocks noChangeArrowheads="1"/>
            </xdr:cNvSpPr>
          </xdr:nvSpPr>
          <xdr:spPr bwMode="auto">
            <a:xfrm>
              <a:off x="402" y="329"/>
              <a:ext cx="12" cy="17"/>
            </a:xfrm>
            <a:prstGeom prst="flowChartDelay">
              <a:avLst/>
            </a:prstGeom>
            <a:grpFill/>
            <a:ln w="9525">
              <a:solidFill>
                <a:srgbClr val="000000"/>
              </a:solidFill>
              <a:miter lim="800000"/>
              <a:headEnd/>
              <a:tailEnd/>
            </a:ln>
          </xdr:spPr>
        </xdr:sp>
        <xdr:sp macro="" textlink="">
          <xdr:nvSpPr>
            <xdr:cNvPr id="1151" name="Oval 477">
              <a:extLst>
                <a:ext uri="{FF2B5EF4-FFF2-40B4-BE49-F238E27FC236}">
                  <a16:creationId xmlns:a16="http://schemas.microsoft.com/office/drawing/2014/main" id="{00000000-0008-0000-0000-00007F040000}"/>
                </a:ext>
              </a:extLst>
            </xdr:cNvPr>
            <xdr:cNvSpPr>
              <a:spLocks noChangeArrowheads="1"/>
            </xdr:cNvSpPr>
          </xdr:nvSpPr>
          <xdr:spPr bwMode="auto">
            <a:xfrm>
              <a:off x="438" y="354"/>
              <a:ext cx="19" cy="17"/>
            </a:xfrm>
            <a:prstGeom prst="ellipse">
              <a:avLst/>
            </a:prstGeom>
            <a:grpFill/>
            <a:ln w="9525">
              <a:solidFill>
                <a:srgbClr val="000000"/>
              </a:solidFill>
              <a:round/>
              <a:headEnd/>
              <a:tailEnd/>
            </a:ln>
          </xdr:spPr>
        </xdr:sp>
        <xdr:sp macro="" textlink="">
          <xdr:nvSpPr>
            <xdr:cNvPr id="1152" name="AutoShape 478">
              <a:extLst>
                <a:ext uri="{FF2B5EF4-FFF2-40B4-BE49-F238E27FC236}">
                  <a16:creationId xmlns:a16="http://schemas.microsoft.com/office/drawing/2014/main" id="{00000000-0008-0000-0000-000080040000}"/>
                </a:ext>
              </a:extLst>
            </xdr:cNvPr>
            <xdr:cNvSpPr>
              <a:spLocks noChangeArrowheads="1"/>
            </xdr:cNvSpPr>
          </xdr:nvSpPr>
          <xdr:spPr bwMode="auto">
            <a:xfrm flipH="1">
              <a:off x="484" y="329"/>
              <a:ext cx="12" cy="17"/>
            </a:xfrm>
            <a:prstGeom prst="flowChartDelay">
              <a:avLst/>
            </a:prstGeom>
            <a:grpFill/>
            <a:ln w="9525">
              <a:solidFill>
                <a:srgbClr val="000000"/>
              </a:solidFill>
              <a:miter lim="800000"/>
              <a:headEnd/>
              <a:tailEnd/>
            </a:ln>
          </xdr:spPr>
        </xdr:sp>
        <xdr:sp macro="" textlink="">
          <xdr:nvSpPr>
            <xdr:cNvPr id="1153" name="AutoShape 479">
              <a:extLst>
                <a:ext uri="{FF2B5EF4-FFF2-40B4-BE49-F238E27FC236}">
                  <a16:creationId xmlns:a16="http://schemas.microsoft.com/office/drawing/2014/main" id="{00000000-0008-0000-0000-000081040000}"/>
                </a:ext>
              </a:extLst>
            </xdr:cNvPr>
            <xdr:cNvSpPr>
              <a:spLocks noChangeArrowheads="1"/>
            </xdr:cNvSpPr>
          </xdr:nvSpPr>
          <xdr:spPr bwMode="auto">
            <a:xfrm>
              <a:off x="402" y="380"/>
              <a:ext cx="12" cy="17"/>
            </a:xfrm>
            <a:prstGeom prst="flowChartDelay">
              <a:avLst/>
            </a:prstGeom>
            <a:grpFill/>
            <a:ln w="9525">
              <a:solidFill>
                <a:srgbClr val="000000"/>
              </a:solidFill>
              <a:miter lim="800000"/>
              <a:headEnd/>
              <a:tailEnd/>
            </a:ln>
          </xdr:spPr>
        </xdr:sp>
        <xdr:sp macro="" textlink="">
          <xdr:nvSpPr>
            <xdr:cNvPr id="1154" name="AutoShape 480">
              <a:extLst>
                <a:ext uri="{FF2B5EF4-FFF2-40B4-BE49-F238E27FC236}">
                  <a16:creationId xmlns:a16="http://schemas.microsoft.com/office/drawing/2014/main" id="{00000000-0008-0000-0000-000082040000}"/>
                </a:ext>
              </a:extLst>
            </xdr:cNvPr>
            <xdr:cNvSpPr>
              <a:spLocks noChangeArrowheads="1"/>
            </xdr:cNvSpPr>
          </xdr:nvSpPr>
          <xdr:spPr bwMode="auto">
            <a:xfrm flipH="1">
              <a:off x="484" y="381"/>
              <a:ext cx="12" cy="17"/>
            </a:xfrm>
            <a:prstGeom prst="flowChartDelay">
              <a:avLst/>
            </a:prstGeom>
            <a:grpFill/>
            <a:ln w="9525">
              <a:solidFill>
                <a:srgbClr val="000000"/>
              </a:solidFill>
              <a:miter lim="800000"/>
              <a:headEnd/>
              <a:tailEnd/>
            </a:ln>
          </xdr:spPr>
        </xdr:sp>
      </xdr:grpSp>
    </xdr:grpSp>
    <xdr:clientData/>
  </xdr:twoCellAnchor>
  <xdr:twoCellAnchor>
    <xdr:from>
      <xdr:col>1</xdr:col>
      <xdr:colOff>226217</xdr:colOff>
      <xdr:row>72</xdr:row>
      <xdr:rowOff>0</xdr:rowOff>
    </xdr:from>
    <xdr:to>
      <xdr:col>1</xdr:col>
      <xdr:colOff>559592</xdr:colOff>
      <xdr:row>72</xdr:row>
      <xdr:rowOff>0</xdr:rowOff>
    </xdr:to>
    <xdr:grpSp>
      <xdr:nvGrpSpPr>
        <xdr:cNvPr id="1158" name="Group 485">
          <a:extLst>
            <a:ext uri="{FF2B5EF4-FFF2-40B4-BE49-F238E27FC236}">
              <a16:creationId xmlns:a16="http://schemas.microsoft.com/office/drawing/2014/main" id="{00000000-0008-0000-0000-000086040000}"/>
            </a:ext>
          </a:extLst>
        </xdr:cNvPr>
        <xdr:cNvGrpSpPr>
          <a:grpSpLocks/>
        </xdr:cNvGrpSpPr>
      </xdr:nvGrpSpPr>
      <xdr:grpSpPr bwMode="auto">
        <a:xfrm rot="80297" flipH="1">
          <a:off x="824931" y="25820914"/>
          <a:ext cx="333375" cy="0"/>
          <a:chOff x="98" y="425"/>
          <a:chExt cx="93" cy="103"/>
        </a:xfrm>
      </xdr:grpSpPr>
      <xdr:sp macro="" textlink="">
        <xdr:nvSpPr>
          <xdr:cNvPr id="1159" name="Freeform 486">
            <a:extLst>
              <a:ext uri="{FF2B5EF4-FFF2-40B4-BE49-F238E27FC236}">
                <a16:creationId xmlns:a16="http://schemas.microsoft.com/office/drawing/2014/main" id="{00000000-0008-0000-0000-000087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60" name="Freeform 487">
            <a:extLst>
              <a:ext uri="{FF2B5EF4-FFF2-40B4-BE49-F238E27FC236}">
                <a16:creationId xmlns:a16="http://schemas.microsoft.com/office/drawing/2014/main" id="{00000000-0008-0000-0000-000088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61" name="Freeform 488">
            <a:extLst>
              <a:ext uri="{FF2B5EF4-FFF2-40B4-BE49-F238E27FC236}">
                <a16:creationId xmlns:a16="http://schemas.microsoft.com/office/drawing/2014/main" id="{00000000-0008-0000-0000-000089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567840</xdr:colOff>
      <xdr:row>70</xdr:row>
      <xdr:rowOff>0</xdr:rowOff>
    </xdr:from>
    <xdr:to>
      <xdr:col>1</xdr:col>
      <xdr:colOff>843801</xdr:colOff>
      <xdr:row>71</xdr:row>
      <xdr:rowOff>0</xdr:rowOff>
    </xdr:to>
    <xdr:grpSp>
      <xdr:nvGrpSpPr>
        <xdr:cNvPr id="1162" name="Group 466">
          <a:extLst>
            <a:ext uri="{FF2B5EF4-FFF2-40B4-BE49-F238E27FC236}">
              <a16:creationId xmlns:a16="http://schemas.microsoft.com/office/drawing/2014/main" id="{00000000-0008-0000-0000-00008A040000}"/>
            </a:ext>
          </a:extLst>
        </xdr:cNvPr>
        <xdr:cNvGrpSpPr>
          <a:grpSpLocks/>
        </xdr:cNvGrpSpPr>
      </xdr:nvGrpSpPr>
      <xdr:grpSpPr bwMode="auto">
        <a:xfrm>
          <a:off x="1166554" y="25135114"/>
          <a:ext cx="275961" cy="370115"/>
          <a:chOff x="401" y="230"/>
          <a:chExt cx="95" cy="183"/>
        </a:xfrm>
      </xdr:grpSpPr>
      <xdr:grpSp>
        <xdr:nvGrpSpPr>
          <xdr:cNvPr id="1163" name="Group 467">
            <a:extLst>
              <a:ext uri="{FF2B5EF4-FFF2-40B4-BE49-F238E27FC236}">
                <a16:creationId xmlns:a16="http://schemas.microsoft.com/office/drawing/2014/main" id="{00000000-0008-0000-0000-00008B040000}"/>
              </a:ext>
            </a:extLst>
          </xdr:cNvPr>
          <xdr:cNvGrpSpPr>
            <a:grpSpLocks/>
          </xdr:cNvGrpSpPr>
        </xdr:nvGrpSpPr>
        <xdr:grpSpPr bwMode="auto">
          <a:xfrm>
            <a:off x="401" y="230"/>
            <a:ext cx="95" cy="183"/>
            <a:chOff x="390" y="230"/>
            <a:chExt cx="182" cy="165"/>
          </a:xfrm>
        </xdr:grpSpPr>
        <xdr:sp macro="" textlink="">
          <xdr:nvSpPr>
            <xdr:cNvPr id="1174" name="Freeform 468">
              <a:extLst>
                <a:ext uri="{FF2B5EF4-FFF2-40B4-BE49-F238E27FC236}">
                  <a16:creationId xmlns:a16="http://schemas.microsoft.com/office/drawing/2014/main" id="{00000000-0008-0000-0000-00009604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175" name="Rectangle 469">
              <a:extLst>
                <a:ext uri="{FF2B5EF4-FFF2-40B4-BE49-F238E27FC236}">
                  <a16:creationId xmlns:a16="http://schemas.microsoft.com/office/drawing/2014/main" id="{00000000-0008-0000-0000-000097040000}"/>
                </a:ext>
              </a:extLst>
            </xdr:cNvPr>
            <xdr:cNvSpPr>
              <a:spLocks noChangeArrowheads="1"/>
            </xdr:cNvSpPr>
          </xdr:nvSpPr>
          <xdr:spPr bwMode="auto">
            <a:xfrm>
              <a:off x="391" y="237"/>
              <a:ext cx="180" cy="152"/>
            </a:xfrm>
            <a:prstGeom prst="rect">
              <a:avLst/>
            </a:prstGeom>
            <a:gradFill rotWithShape="0">
              <a:gsLst>
                <a:gs pos="0">
                  <a:srgbClr val="008B00"/>
                </a:gs>
                <a:gs pos="50000">
                  <a:srgbClr val="00FF00"/>
                </a:gs>
                <a:gs pos="100000">
                  <a:srgbClr val="008B00"/>
                </a:gs>
              </a:gsLst>
              <a:lin ang="0" scaled="1"/>
            </a:grad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176" name="Freeform 470">
              <a:extLst>
                <a:ext uri="{FF2B5EF4-FFF2-40B4-BE49-F238E27FC236}">
                  <a16:creationId xmlns:a16="http://schemas.microsoft.com/office/drawing/2014/main" id="{00000000-0008-0000-0000-00009804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adFill rotWithShape="0">
              <a:gsLst>
                <a:gs pos="0">
                  <a:srgbClr val="008B00"/>
                </a:gs>
                <a:gs pos="50000">
                  <a:srgbClr val="00FF00"/>
                </a:gs>
                <a:gs pos="100000">
                  <a:srgbClr val="008B00"/>
                </a:gs>
              </a:gsLst>
              <a:lin ang="0" scaled="1"/>
            </a:grad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1164" name="Group 471">
            <a:extLst>
              <a:ext uri="{FF2B5EF4-FFF2-40B4-BE49-F238E27FC236}">
                <a16:creationId xmlns:a16="http://schemas.microsoft.com/office/drawing/2014/main" id="{00000000-0008-0000-0000-00008C040000}"/>
              </a:ext>
            </a:extLst>
          </xdr:cNvPr>
          <xdr:cNvGrpSpPr>
            <a:grpSpLocks/>
          </xdr:cNvGrpSpPr>
        </xdr:nvGrpSpPr>
        <xdr:grpSpPr bwMode="auto">
          <a:xfrm>
            <a:off x="402" y="246"/>
            <a:ext cx="94" cy="152"/>
            <a:chOff x="402" y="246"/>
            <a:chExt cx="94" cy="152"/>
          </a:xfrm>
        </xdr:grpSpPr>
        <xdr:sp macro="" textlink="">
          <xdr:nvSpPr>
            <xdr:cNvPr id="1165" name="Oval 472">
              <a:extLst>
                <a:ext uri="{FF2B5EF4-FFF2-40B4-BE49-F238E27FC236}">
                  <a16:creationId xmlns:a16="http://schemas.microsoft.com/office/drawing/2014/main" id="{00000000-0008-0000-0000-00008D040000}"/>
                </a:ext>
              </a:extLst>
            </xdr:cNvPr>
            <xdr:cNvSpPr>
              <a:spLocks noChangeArrowheads="1"/>
            </xdr:cNvSpPr>
          </xdr:nvSpPr>
          <xdr:spPr bwMode="auto">
            <a:xfrm>
              <a:off x="439" y="246"/>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1166" name="AutoShape 473">
              <a:extLst>
                <a:ext uri="{FF2B5EF4-FFF2-40B4-BE49-F238E27FC236}">
                  <a16:creationId xmlns:a16="http://schemas.microsoft.com/office/drawing/2014/main" id="{00000000-0008-0000-0000-00008E040000}"/>
                </a:ext>
              </a:extLst>
            </xdr:cNvPr>
            <xdr:cNvSpPr>
              <a:spLocks noChangeArrowheads="1"/>
            </xdr:cNvSpPr>
          </xdr:nvSpPr>
          <xdr:spPr bwMode="auto">
            <a:xfrm>
              <a:off x="402" y="274"/>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1167" name="Oval 474">
              <a:extLst>
                <a:ext uri="{FF2B5EF4-FFF2-40B4-BE49-F238E27FC236}">
                  <a16:creationId xmlns:a16="http://schemas.microsoft.com/office/drawing/2014/main" id="{00000000-0008-0000-0000-00008F040000}"/>
                </a:ext>
              </a:extLst>
            </xdr:cNvPr>
            <xdr:cNvSpPr>
              <a:spLocks noChangeArrowheads="1"/>
            </xdr:cNvSpPr>
          </xdr:nvSpPr>
          <xdr:spPr bwMode="auto">
            <a:xfrm>
              <a:off x="439" y="300"/>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1168" name="AutoShape 475">
              <a:extLst>
                <a:ext uri="{FF2B5EF4-FFF2-40B4-BE49-F238E27FC236}">
                  <a16:creationId xmlns:a16="http://schemas.microsoft.com/office/drawing/2014/main" id="{00000000-0008-0000-0000-000090040000}"/>
                </a:ext>
              </a:extLst>
            </xdr:cNvPr>
            <xdr:cNvSpPr>
              <a:spLocks noChangeArrowheads="1"/>
            </xdr:cNvSpPr>
          </xdr:nvSpPr>
          <xdr:spPr bwMode="auto">
            <a:xfrm flipH="1">
              <a:off x="484" y="275"/>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1169" name="AutoShape 476">
              <a:extLst>
                <a:ext uri="{FF2B5EF4-FFF2-40B4-BE49-F238E27FC236}">
                  <a16:creationId xmlns:a16="http://schemas.microsoft.com/office/drawing/2014/main" id="{00000000-0008-0000-0000-000091040000}"/>
                </a:ext>
              </a:extLst>
            </xdr:cNvPr>
            <xdr:cNvSpPr>
              <a:spLocks noChangeArrowheads="1"/>
            </xdr:cNvSpPr>
          </xdr:nvSpPr>
          <xdr:spPr bwMode="auto">
            <a:xfrm>
              <a:off x="402"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1170" name="Oval 477">
              <a:extLst>
                <a:ext uri="{FF2B5EF4-FFF2-40B4-BE49-F238E27FC236}">
                  <a16:creationId xmlns:a16="http://schemas.microsoft.com/office/drawing/2014/main" id="{00000000-0008-0000-0000-000092040000}"/>
                </a:ext>
              </a:extLst>
            </xdr:cNvPr>
            <xdr:cNvSpPr>
              <a:spLocks noChangeArrowheads="1"/>
            </xdr:cNvSpPr>
          </xdr:nvSpPr>
          <xdr:spPr bwMode="auto">
            <a:xfrm>
              <a:off x="438" y="354"/>
              <a:ext cx="19" cy="17"/>
            </a:xfrm>
            <a:prstGeom prst="ellipse">
              <a:avLst/>
            </a:prstGeom>
            <a:gradFill rotWithShape="0">
              <a:gsLst>
                <a:gs pos="0">
                  <a:srgbClr val="008B00"/>
                </a:gs>
                <a:gs pos="50000">
                  <a:srgbClr val="00FF00"/>
                </a:gs>
                <a:gs pos="100000">
                  <a:srgbClr val="008B00"/>
                </a:gs>
              </a:gsLst>
              <a:lin ang="0" scaled="1"/>
            </a:gradFill>
            <a:ln w="9525">
              <a:solidFill>
                <a:srgbClr val="000000"/>
              </a:solidFill>
              <a:round/>
              <a:headEnd/>
              <a:tailEnd/>
            </a:ln>
          </xdr:spPr>
        </xdr:sp>
        <xdr:sp macro="" textlink="">
          <xdr:nvSpPr>
            <xdr:cNvPr id="1171" name="AutoShape 478">
              <a:extLst>
                <a:ext uri="{FF2B5EF4-FFF2-40B4-BE49-F238E27FC236}">
                  <a16:creationId xmlns:a16="http://schemas.microsoft.com/office/drawing/2014/main" id="{00000000-0008-0000-0000-000093040000}"/>
                </a:ext>
              </a:extLst>
            </xdr:cNvPr>
            <xdr:cNvSpPr>
              <a:spLocks noChangeArrowheads="1"/>
            </xdr:cNvSpPr>
          </xdr:nvSpPr>
          <xdr:spPr bwMode="auto">
            <a:xfrm flipH="1">
              <a:off x="484" y="329"/>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1172" name="AutoShape 479">
              <a:extLst>
                <a:ext uri="{FF2B5EF4-FFF2-40B4-BE49-F238E27FC236}">
                  <a16:creationId xmlns:a16="http://schemas.microsoft.com/office/drawing/2014/main" id="{00000000-0008-0000-0000-000094040000}"/>
                </a:ext>
              </a:extLst>
            </xdr:cNvPr>
            <xdr:cNvSpPr>
              <a:spLocks noChangeArrowheads="1"/>
            </xdr:cNvSpPr>
          </xdr:nvSpPr>
          <xdr:spPr bwMode="auto">
            <a:xfrm>
              <a:off x="402" y="380"/>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sp macro="" textlink="">
          <xdr:nvSpPr>
            <xdr:cNvPr id="1173" name="AutoShape 480">
              <a:extLst>
                <a:ext uri="{FF2B5EF4-FFF2-40B4-BE49-F238E27FC236}">
                  <a16:creationId xmlns:a16="http://schemas.microsoft.com/office/drawing/2014/main" id="{00000000-0008-0000-0000-000095040000}"/>
                </a:ext>
              </a:extLst>
            </xdr:cNvPr>
            <xdr:cNvSpPr>
              <a:spLocks noChangeArrowheads="1"/>
            </xdr:cNvSpPr>
          </xdr:nvSpPr>
          <xdr:spPr bwMode="auto">
            <a:xfrm flipH="1">
              <a:off x="484" y="381"/>
              <a:ext cx="12" cy="17"/>
            </a:xfrm>
            <a:prstGeom prst="flowChartDelay">
              <a:avLst/>
            </a:prstGeom>
            <a:gradFill rotWithShape="0">
              <a:gsLst>
                <a:gs pos="0">
                  <a:srgbClr val="008B00"/>
                </a:gs>
                <a:gs pos="50000">
                  <a:srgbClr val="00FF00"/>
                </a:gs>
                <a:gs pos="100000">
                  <a:srgbClr val="008B00"/>
                </a:gs>
              </a:gsLst>
              <a:lin ang="0" scaled="1"/>
            </a:gradFill>
            <a:ln w="9525">
              <a:solidFill>
                <a:srgbClr val="000000"/>
              </a:solidFill>
              <a:miter lim="800000"/>
              <a:headEnd/>
              <a:tailEnd/>
            </a:ln>
          </xdr:spPr>
        </xdr:sp>
      </xdr:grpSp>
    </xdr:grpSp>
    <xdr:clientData/>
  </xdr:twoCellAnchor>
  <xdr:twoCellAnchor>
    <xdr:from>
      <xdr:col>1</xdr:col>
      <xdr:colOff>848075</xdr:colOff>
      <xdr:row>70</xdr:row>
      <xdr:rowOff>23812</xdr:rowOff>
    </xdr:from>
    <xdr:to>
      <xdr:col>1</xdr:col>
      <xdr:colOff>1190975</xdr:colOff>
      <xdr:row>70</xdr:row>
      <xdr:rowOff>350065</xdr:rowOff>
    </xdr:to>
    <xdr:grpSp>
      <xdr:nvGrpSpPr>
        <xdr:cNvPr id="1177" name="Group 481">
          <a:extLst>
            <a:ext uri="{FF2B5EF4-FFF2-40B4-BE49-F238E27FC236}">
              <a16:creationId xmlns:a16="http://schemas.microsoft.com/office/drawing/2014/main" id="{00000000-0008-0000-0000-000099040000}"/>
            </a:ext>
          </a:extLst>
        </xdr:cNvPr>
        <xdr:cNvGrpSpPr>
          <a:grpSpLocks/>
        </xdr:cNvGrpSpPr>
      </xdr:nvGrpSpPr>
      <xdr:grpSpPr bwMode="auto">
        <a:xfrm rot="10840149" flipH="1">
          <a:off x="1446789" y="25158926"/>
          <a:ext cx="342900" cy="326253"/>
          <a:chOff x="98" y="425"/>
          <a:chExt cx="93" cy="103"/>
        </a:xfrm>
      </xdr:grpSpPr>
      <xdr:sp macro="" textlink="">
        <xdr:nvSpPr>
          <xdr:cNvPr id="1178" name="Freeform 482">
            <a:extLst>
              <a:ext uri="{FF2B5EF4-FFF2-40B4-BE49-F238E27FC236}">
                <a16:creationId xmlns:a16="http://schemas.microsoft.com/office/drawing/2014/main" id="{00000000-0008-0000-0000-00009A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79" name="Freeform 483">
            <a:extLst>
              <a:ext uri="{FF2B5EF4-FFF2-40B4-BE49-F238E27FC236}">
                <a16:creationId xmlns:a16="http://schemas.microsoft.com/office/drawing/2014/main" id="{00000000-0008-0000-0000-00009B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80" name="Freeform 484">
            <a:extLst>
              <a:ext uri="{FF2B5EF4-FFF2-40B4-BE49-F238E27FC236}">
                <a16:creationId xmlns:a16="http://schemas.microsoft.com/office/drawing/2014/main" id="{00000000-0008-0000-0000-00009C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181" name="Group 485">
          <a:extLst>
            <a:ext uri="{FF2B5EF4-FFF2-40B4-BE49-F238E27FC236}">
              <a16:creationId xmlns:a16="http://schemas.microsoft.com/office/drawing/2014/main" id="{00000000-0008-0000-0000-00009D040000}"/>
            </a:ext>
          </a:extLst>
        </xdr:cNvPr>
        <xdr:cNvGrpSpPr>
          <a:grpSpLocks/>
        </xdr:cNvGrpSpPr>
      </xdr:nvGrpSpPr>
      <xdr:grpSpPr bwMode="auto">
        <a:xfrm rot="80297" flipH="1">
          <a:off x="824931" y="25135114"/>
          <a:ext cx="333375" cy="310596"/>
          <a:chOff x="98" y="425"/>
          <a:chExt cx="93" cy="103"/>
        </a:xfrm>
      </xdr:grpSpPr>
      <xdr:sp macro="" textlink="">
        <xdr:nvSpPr>
          <xdr:cNvPr id="1182" name="Freeform 486">
            <a:extLst>
              <a:ext uri="{FF2B5EF4-FFF2-40B4-BE49-F238E27FC236}">
                <a16:creationId xmlns:a16="http://schemas.microsoft.com/office/drawing/2014/main" id="{00000000-0008-0000-0000-00009E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83" name="Freeform 487">
            <a:extLst>
              <a:ext uri="{FF2B5EF4-FFF2-40B4-BE49-F238E27FC236}">
                <a16:creationId xmlns:a16="http://schemas.microsoft.com/office/drawing/2014/main" id="{00000000-0008-0000-0000-00009F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84" name="Freeform 488">
            <a:extLst>
              <a:ext uri="{FF2B5EF4-FFF2-40B4-BE49-F238E27FC236}">
                <a16:creationId xmlns:a16="http://schemas.microsoft.com/office/drawing/2014/main" id="{00000000-0008-0000-0000-0000A0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185" name="Group 485">
          <a:extLst>
            <a:ext uri="{FF2B5EF4-FFF2-40B4-BE49-F238E27FC236}">
              <a16:creationId xmlns:a16="http://schemas.microsoft.com/office/drawing/2014/main" id="{00000000-0008-0000-0000-0000A1040000}"/>
            </a:ext>
          </a:extLst>
        </xdr:cNvPr>
        <xdr:cNvGrpSpPr>
          <a:grpSpLocks/>
        </xdr:cNvGrpSpPr>
      </xdr:nvGrpSpPr>
      <xdr:grpSpPr bwMode="auto">
        <a:xfrm rot="80297" flipH="1">
          <a:off x="824931" y="25135114"/>
          <a:ext cx="333375" cy="0"/>
          <a:chOff x="98" y="425"/>
          <a:chExt cx="93" cy="103"/>
        </a:xfrm>
      </xdr:grpSpPr>
      <xdr:sp macro="" textlink="">
        <xdr:nvSpPr>
          <xdr:cNvPr id="1186" name="Freeform 486">
            <a:extLst>
              <a:ext uri="{FF2B5EF4-FFF2-40B4-BE49-F238E27FC236}">
                <a16:creationId xmlns:a16="http://schemas.microsoft.com/office/drawing/2014/main" id="{00000000-0008-0000-0000-0000A2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87" name="Freeform 487">
            <a:extLst>
              <a:ext uri="{FF2B5EF4-FFF2-40B4-BE49-F238E27FC236}">
                <a16:creationId xmlns:a16="http://schemas.microsoft.com/office/drawing/2014/main" id="{00000000-0008-0000-0000-0000A3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88" name="Freeform 488">
            <a:extLst>
              <a:ext uri="{FF2B5EF4-FFF2-40B4-BE49-F238E27FC236}">
                <a16:creationId xmlns:a16="http://schemas.microsoft.com/office/drawing/2014/main" id="{00000000-0008-0000-0000-0000A4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189" name="Group 485">
          <a:extLst>
            <a:ext uri="{FF2B5EF4-FFF2-40B4-BE49-F238E27FC236}">
              <a16:creationId xmlns:a16="http://schemas.microsoft.com/office/drawing/2014/main" id="{00000000-0008-0000-0000-0000A5040000}"/>
            </a:ext>
          </a:extLst>
        </xdr:cNvPr>
        <xdr:cNvGrpSpPr>
          <a:grpSpLocks/>
        </xdr:cNvGrpSpPr>
      </xdr:nvGrpSpPr>
      <xdr:grpSpPr bwMode="auto">
        <a:xfrm rot="80297" flipH="1">
          <a:off x="824931" y="25135114"/>
          <a:ext cx="333375" cy="310596"/>
          <a:chOff x="98" y="425"/>
          <a:chExt cx="93" cy="103"/>
        </a:xfrm>
      </xdr:grpSpPr>
      <xdr:sp macro="" textlink="">
        <xdr:nvSpPr>
          <xdr:cNvPr id="1190" name="Freeform 486">
            <a:extLst>
              <a:ext uri="{FF2B5EF4-FFF2-40B4-BE49-F238E27FC236}">
                <a16:creationId xmlns:a16="http://schemas.microsoft.com/office/drawing/2014/main" id="{00000000-0008-0000-0000-0000A6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91" name="Freeform 487">
            <a:extLst>
              <a:ext uri="{FF2B5EF4-FFF2-40B4-BE49-F238E27FC236}">
                <a16:creationId xmlns:a16="http://schemas.microsoft.com/office/drawing/2014/main" id="{00000000-0008-0000-0000-0000A7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92" name="Freeform 488">
            <a:extLst>
              <a:ext uri="{FF2B5EF4-FFF2-40B4-BE49-F238E27FC236}">
                <a16:creationId xmlns:a16="http://schemas.microsoft.com/office/drawing/2014/main" id="{00000000-0008-0000-0000-0000A8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193" name="Group 485">
          <a:extLst>
            <a:ext uri="{FF2B5EF4-FFF2-40B4-BE49-F238E27FC236}">
              <a16:creationId xmlns:a16="http://schemas.microsoft.com/office/drawing/2014/main" id="{00000000-0008-0000-0000-0000A9040000}"/>
            </a:ext>
          </a:extLst>
        </xdr:cNvPr>
        <xdr:cNvGrpSpPr>
          <a:grpSpLocks/>
        </xdr:cNvGrpSpPr>
      </xdr:nvGrpSpPr>
      <xdr:grpSpPr bwMode="auto">
        <a:xfrm rot="80297" flipH="1">
          <a:off x="824931" y="25135114"/>
          <a:ext cx="333375" cy="0"/>
          <a:chOff x="98" y="425"/>
          <a:chExt cx="93" cy="103"/>
        </a:xfrm>
      </xdr:grpSpPr>
      <xdr:sp macro="" textlink="">
        <xdr:nvSpPr>
          <xdr:cNvPr id="1194" name="Freeform 486">
            <a:extLst>
              <a:ext uri="{FF2B5EF4-FFF2-40B4-BE49-F238E27FC236}">
                <a16:creationId xmlns:a16="http://schemas.microsoft.com/office/drawing/2014/main" id="{00000000-0008-0000-0000-0000AA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95" name="Freeform 487">
            <a:extLst>
              <a:ext uri="{FF2B5EF4-FFF2-40B4-BE49-F238E27FC236}">
                <a16:creationId xmlns:a16="http://schemas.microsoft.com/office/drawing/2014/main" id="{00000000-0008-0000-0000-0000AB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96" name="Freeform 488">
            <a:extLst>
              <a:ext uri="{FF2B5EF4-FFF2-40B4-BE49-F238E27FC236}">
                <a16:creationId xmlns:a16="http://schemas.microsoft.com/office/drawing/2014/main" id="{00000000-0008-0000-0000-0000AC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197" name="Group 485">
          <a:extLst>
            <a:ext uri="{FF2B5EF4-FFF2-40B4-BE49-F238E27FC236}">
              <a16:creationId xmlns:a16="http://schemas.microsoft.com/office/drawing/2014/main" id="{00000000-0008-0000-0000-0000AD040000}"/>
            </a:ext>
          </a:extLst>
        </xdr:cNvPr>
        <xdr:cNvGrpSpPr>
          <a:grpSpLocks/>
        </xdr:cNvGrpSpPr>
      </xdr:nvGrpSpPr>
      <xdr:grpSpPr bwMode="auto">
        <a:xfrm rot="80297" flipH="1">
          <a:off x="824931" y="25135114"/>
          <a:ext cx="333375" cy="310596"/>
          <a:chOff x="98" y="425"/>
          <a:chExt cx="93" cy="103"/>
        </a:xfrm>
      </xdr:grpSpPr>
      <xdr:sp macro="" textlink="">
        <xdr:nvSpPr>
          <xdr:cNvPr id="1198" name="Freeform 486">
            <a:extLst>
              <a:ext uri="{FF2B5EF4-FFF2-40B4-BE49-F238E27FC236}">
                <a16:creationId xmlns:a16="http://schemas.microsoft.com/office/drawing/2014/main" id="{00000000-0008-0000-0000-0000AE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199" name="Freeform 487">
            <a:extLst>
              <a:ext uri="{FF2B5EF4-FFF2-40B4-BE49-F238E27FC236}">
                <a16:creationId xmlns:a16="http://schemas.microsoft.com/office/drawing/2014/main" id="{00000000-0008-0000-0000-0000AF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00" name="Freeform 488">
            <a:extLst>
              <a:ext uri="{FF2B5EF4-FFF2-40B4-BE49-F238E27FC236}">
                <a16:creationId xmlns:a16="http://schemas.microsoft.com/office/drawing/2014/main" id="{00000000-0008-0000-0000-0000B0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01" name="Group 485">
          <a:extLst>
            <a:ext uri="{FF2B5EF4-FFF2-40B4-BE49-F238E27FC236}">
              <a16:creationId xmlns:a16="http://schemas.microsoft.com/office/drawing/2014/main" id="{00000000-0008-0000-0000-0000B1040000}"/>
            </a:ext>
          </a:extLst>
        </xdr:cNvPr>
        <xdr:cNvGrpSpPr>
          <a:grpSpLocks/>
        </xdr:cNvGrpSpPr>
      </xdr:nvGrpSpPr>
      <xdr:grpSpPr bwMode="auto">
        <a:xfrm rot="80297" flipH="1">
          <a:off x="824931" y="25135114"/>
          <a:ext cx="333375" cy="0"/>
          <a:chOff x="98" y="425"/>
          <a:chExt cx="93" cy="103"/>
        </a:xfrm>
      </xdr:grpSpPr>
      <xdr:sp macro="" textlink="">
        <xdr:nvSpPr>
          <xdr:cNvPr id="1202" name="Freeform 486">
            <a:extLst>
              <a:ext uri="{FF2B5EF4-FFF2-40B4-BE49-F238E27FC236}">
                <a16:creationId xmlns:a16="http://schemas.microsoft.com/office/drawing/2014/main" id="{00000000-0008-0000-0000-0000B2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03" name="Freeform 487">
            <a:extLst>
              <a:ext uri="{FF2B5EF4-FFF2-40B4-BE49-F238E27FC236}">
                <a16:creationId xmlns:a16="http://schemas.microsoft.com/office/drawing/2014/main" id="{00000000-0008-0000-0000-0000B3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04" name="Freeform 488">
            <a:extLst>
              <a:ext uri="{FF2B5EF4-FFF2-40B4-BE49-F238E27FC236}">
                <a16:creationId xmlns:a16="http://schemas.microsoft.com/office/drawing/2014/main" id="{00000000-0008-0000-0000-0000B4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05" name="Group 485">
          <a:extLst>
            <a:ext uri="{FF2B5EF4-FFF2-40B4-BE49-F238E27FC236}">
              <a16:creationId xmlns:a16="http://schemas.microsoft.com/office/drawing/2014/main" id="{00000000-0008-0000-0000-0000B5040000}"/>
            </a:ext>
          </a:extLst>
        </xdr:cNvPr>
        <xdr:cNvGrpSpPr>
          <a:grpSpLocks/>
        </xdr:cNvGrpSpPr>
      </xdr:nvGrpSpPr>
      <xdr:grpSpPr bwMode="auto">
        <a:xfrm rot="80297" flipH="1">
          <a:off x="824931" y="25135114"/>
          <a:ext cx="333375" cy="310596"/>
          <a:chOff x="98" y="425"/>
          <a:chExt cx="93" cy="103"/>
        </a:xfrm>
      </xdr:grpSpPr>
      <xdr:sp macro="" textlink="">
        <xdr:nvSpPr>
          <xdr:cNvPr id="1206" name="Freeform 486">
            <a:extLst>
              <a:ext uri="{FF2B5EF4-FFF2-40B4-BE49-F238E27FC236}">
                <a16:creationId xmlns:a16="http://schemas.microsoft.com/office/drawing/2014/main" id="{00000000-0008-0000-0000-0000B6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07" name="Freeform 487">
            <a:extLst>
              <a:ext uri="{FF2B5EF4-FFF2-40B4-BE49-F238E27FC236}">
                <a16:creationId xmlns:a16="http://schemas.microsoft.com/office/drawing/2014/main" id="{00000000-0008-0000-0000-0000B7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08" name="Freeform 488">
            <a:extLst>
              <a:ext uri="{FF2B5EF4-FFF2-40B4-BE49-F238E27FC236}">
                <a16:creationId xmlns:a16="http://schemas.microsoft.com/office/drawing/2014/main" id="{00000000-0008-0000-0000-0000B8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09" name="Group 485">
          <a:extLst>
            <a:ext uri="{FF2B5EF4-FFF2-40B4-BE49-F238E27FC236}">
              <a16:creationId xmlns:a16="http://schemas.microsoft.com/office/drawing/2014/main" id="{00000000-0008-0000-0000-0000B9040000}"/>
            </a:ext>
          </a:extLst>
        </xdr:cNvPr>
        <xdr:cNvGrpSpPr>
          <a:grpSpLocks/>
        </xdr:cNvGrpSpPr>
      </xdr:nvGrpSpPr>
      <xdr:grpSpPr bwMode="auto">
        <a:xfrm rot="80297" flipH="1">
          <a:off x="824931" y="25135114"/>
          <a:ext cx="333375" cy="0"/>
          <a:chOff x="98" y="425"/>
          <a:chExt cx="93" cy="103"/>
        </a:xfrm>
      </xdr:grpSpPr>
      <xdr:sp macro="" textlink="">
        <xdr:nvSpPr>
          <xdr:cNvPr id="1210" name="Freeform 486">
            <a:extLst>
              <a:ext uri="{FF2B5EF4-FFF2-40B4-BE49-F238E27FC236}">
                <a16:creationId xmlns:a16="http://schemas.microsoft.com/office/drawing/2014/main" id="{00000000-0008-0000-0000-0000BA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11" name="Freeform 487">
            <a:extLst>
              <a:ext uri="{FF2B5EF4-FFF2-40B4-BE49-F238E27FC236}">
                <a16:creationId xmlns:a16="http://schemas.microsoft.com/office/drawing/2014/main" id="{00000000-0008-0000-0000-0000BB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12" name="Freeform 488">
            <a:extLst>
              <a:ext uri="{FF2B5EF4-FFF2-40B4-BE49-F238E27FC236}">
                <a16:creationId xmlns:a16="http://schemas.microsoft.com/office/drawing/2014/main" id="{00000000-0008-0000-0000-0000BC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13" name="Group 485">
          <a:extLst>
            <a:ext uri="{FF2B5EF4-FFF2-40B4-BE49-F238E27FC236}">
              <a16:creationId xmlns:a16="http://schemas.microsoft.com/office/drawing/2014/main" id="{00000000-0008-0000-0000-0000BD040000}"/>
            </a:ext>
          </a:extLst>
        </xdr:cNvPr>
        <xdr:cNvGrpSpPr>
          <a:grpSpLocks/>
        </xdr:cNvGrpSpPr>
      </xdr:nvGrpSpPr>
      <xdr:grpSpPr bwMode="auto">
        <a:xfrm rot="80297" flipH="1">
          <a:off x="824931" y="25135114"/>
          <a:ext cx="333375" cy="310596"/>
          <a:chOff x="98" y="425"/>
          <a:chExt cx="93" cy="103"/>
        </a:xfrm>
      </xdr:grpSpPr>
      <xdr:sp macro="" textlink="">
        <xdr:nvSpPr>
          <xdr:cNvPr id="1214" name="Freeform 486">
            <a:extLst>
              <a:ext uri="{FF2B5EF4-FFF2-40B4-BE49-F238E27FC236}">
                <a16:creationId xmlns:a16="http://schemas.microsoft.com/office/drawing/2014/main" id="{00000000-0008-0000-0000-0000BE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15" name="Freeform 487">
            <a:extLst>
              <a:ext uri="{FF2B5EF4-FFF2-40B4-BE49-F238E27FC236}">
                <a16:creationId xmlns:a16="http://schemas.microsoft.com/office/drawing/2014/main" id="{00000000-0008-0000-0000-0000BF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16" name="Freeform 488">
            <a:extLst>
              <a:ext uri="{FF2B5EF4-FFF2-40B4-BE49-F238E27FC236}">
                <a16:creationId xmlns:a16="http://schemas.microsoft.com/office/drawing/2014/main" id="{00000000-0008-0000-0000-0000C0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17" name="Group 485">
          <a:extLst>
            <a:ext uri="{FF2B5EF4-FFF2-40B4-BE49-F238E27FC236}">
              <a16:creationId xmlns:a16="http://schemas.microsoft.com/office/drawing/2014/main" id="{00000000-0008-0000-0000-0000C1040000}"/>
            </a:ext>
          </a:extLst>
        </xdr:cNvPr>
        <xdr:cNvGrpSpPr>
          <a:grpSpLocks/>
        </xdr:cNvGrpSpPr>
      </xdr:nvGrpSpPr>
      <xdr:grpSpPr bwMode="auto">
        <a:xfrm rot="80297" flipH="1">
          <a:off x="824931" y="25135114"/>
          <a:ext cx="333375" cy="0"/>
          <a:chOff x="98" y="425"/>
          <a:chExt cx="93" cy="103"/>
        </a:xfrm>
      </xdr:grpSpPr>
      <xdr:sp macro="" textlink="">
        <xdr:nvSpPr>
          <xdr:cNvPr id="1218" name="Freeform 486">
            <a:extLst>
              <a:ext uri="{FF2B5EF4-FFF2-40B4-BE49-F238E27FC236}">
                <a16:creationId xmlns:a16="http://schemas.microsoft.com/office/drawing/2014/main" id="{00000000-0008-0000-0000-0000C2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19" name="Freeform 487">
            <a:extLst>
              <a:ext uri="{FF2B5EF4-FFF2-40B4-BE49-F238E27FC236}">
                <a16:creationId xmlns:a16="http://schemas.microsoft.com/office/drawing/2014/main" id="{00000000-0008-0000-0000-0000C3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20" name="Freeform 488">
            <a:extLst>
              <a:ext uri="{FF2B5EF4-FFF2-40B4-BE49-F238E27FC236}">
                <a16:creationId xmlns:a16="http://schemas.microsoft.com/office/drawing/2014/main" id="{00000000-0008-0000-0000-0000C4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21" name="Group 485">
          <a:extLst>
            <a:ext uri="{FF2B5EF4-FFF2-40B4-BE49-F238E27FC236}">
              <a16:creationId xmlns:a16="http://schemas.microsoft.com/office/drawing/2014/main" id="{00000000-0008-0000-0000-0000C5040000}"/>
            </a:ext>
          </a:extLst>
        </xdr:cNvPr>
        <xdr:cNvGrpSpPr>
          <a:grpSpLocks/>
        </xdr:cNvGrpSpPr>
      </xdr:nvGrpSpPr>
      <xdr:grpSpPr bwMode="auto">
        <a:xfrm rot="80297" flipH="1">
          <a:off x="824931" y="25135114"/>
          <a:ext cx="333375" cy="310596"/>
          <a:chOff x="98" y="425"/>
          <a:chExt cx="93" cy="103"/>
        </a:xfrm>
      </xdr:grpSpPr>
      <xdr:sp macro="" textlink="">
        <xdr:nvSpPr>
          <xdr:cNvPr id="1222" name="Freeform 486">
            <a:extLst>
              <a:ext uri="{FF2B5EF4-FFF2-40B4-BE49-F238E27FC236}">
                <a16:creationId xmlns:a16="http://schemas.microsoft.com/office/drawing/2014/main" id="{00000000-0008-0000-0000-0000C6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23" name="Freeform 487">
            <a:extLst>
              <a:ext uri="{FF2B5EF4-FFF2-40B4-BE49-F238E27FC236}">
                <a16:creationId xmlns:a16="http://schemas.microsoft.com/office/drawing/2014/main" id="{00000000-0008-0000-0000-0000C7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24" name="Freeform 488">
            <a:extLst>
              <a:ext uri="{FF2B5EF4-FFF2-40B4-BE49-F238E27FC236}">
                <a16:creationId xmlns:a16="http://schemas.microsoft.com/office/drawing/2014/main" id="{00000000-0008-0000-0000-0000C8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25" name="Group 485">
          <a:extLst>
            <a:ext uri="{FF2B5EF4-FFF2-40B4-BE49-F238E27FC236}">
              <a16:creationId xmlns:a16="http://schemas.microsoft.com/office/drawing/2014/main" id="{00000000-0008-0000-0000-0000C9040000}"/>
            </a:ext>
          </a:extLst>
        </xdr:cNvPr>
        <xdr:cNvGrpSpPr>
          <a:grpSpLocks/>
        </xdr:cNvGrpSpPr>
      </xdr:nvGrpSpPr>
      <xdr:grpSpPr bwMode="auto">
        <a:xfrm rot="80297" flipH="1">
          <a:off x="824931" y="25135114"/>
          <a:ext cx="333375" cy="0"/>
          <a:chOff x="98" y="425"/>
          <a:chExt cx="93" cy="103"/>
        </a:xfrm>
      </xdr:grpSpPr>
      <xdr:sp macro="" textlink="">
        <xdr:nvSpPr>
          <xdr:cNvPr id="1226" name="Freeform 486">
            <a:extLst>
              <a:ext uri="{FF2B5EF4-FFF2-40B4-BE49-F238E27FC236}">
                <a16:creationId xmlns:a16="http://schemas.microsoft.com/office/drawing/2014/main" id="{00000000-0008-0000-0000-0000CA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27" name="Freeform 487">
            <a:extLst>
              <a:ext uri="{FF2B5EF4-FFF2-40B4-BE49-F238E27FC236}">
                <a16:creationId xmlns:a16="http://schemas.microsoft.com/office/drawing/2014/main" id="{00000000-0008-0000-0000-0000CB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28" name="Freeform 488">
            <a:extLst>
              <a:ext uri="{FF2B5EF4-FFF2-40B4-BE49-F238E27FC236}">
                <a16:creationId xmlns:a16="http://schemas.microsoft.com/office/drawing/2014/main" id="{00000000-0008-0000-0000-0000CC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29" name="Group 485">
          <a:extLst>
            <a:ext uri="{FF2B5EF4-FFF2-40B4-BE49-F238E27FC236}">
              <a16:creationId xmlns:a16="http://schemas.microsoft.com/office/drawing/2014/main" id="{00000000-0008-0000-0000-0000CD040000}"/>
            </a:ext>
          </a:extLst>
        </xdr:cNvPr>
        <xdr:cNvGrpSpPr>
          <a:grpSpLocks/>
        </xdr:cNvGrpSpPr>
      </xdr:nvGrpSpPr>
      <xdr:grpSpPr bwMode="auto">
        <a:xfrm rot="80297" flipH="1">
          <a:off x="824931" y="25135114"/>
          <a:ext cx="333375" cy="310596"/>
          <a:chOff x="98" y="425"/>
          <a:chExt cx="93" cy="103"/>
        </a:xfrm>
      </xdr:grpSpPr>
      <xdr:sp macro="" textlink="">
        <xdr:nvSpPr>
          <xdr:cNvPr id="1230" name="Freeform 486">
            <a:extLst>
              <a:ext uri="{FF2B5EF4-FFF2-40B4-BE49-F238E27FC236}">
                <a16:creationId xmlns:a16="http://schemas.microsoft.com/office/drawing/2014/main" id="{00000000-0008-0000-0000-0000CE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31" name="Freeform 487">
            <a:extLst>
              <a:ext uri="{FF2B5EF4-FFF2-40B4-BE49-F238E27FC236}">
                <a16:creationId xmlns:a16="http://schemas.microsoft.com/office/drawing/2014/main" id="{00000000-0008-0000-0000-0000CF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32" name="Freeform 488">
            <a:extLst>
              <a:ext uri="{FF2B5EF4-FFF2-40B4-BE49-F238E27FC236}">
                <a16:creationId xmlns:a16="http://schemas.microsoft.com/office/drawing/2014/main" id="{00000000-0008-0000-0000-0000D0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33" name="Group 485">
          <a:extLst>
            <a:ext uri="{FF2B5EF4-FFF2-40B4-BE49-F238E27FC236}">
              <a16:creationId xmlns:a16="http://schemas.microsoft.com/office/drawing/2014/main" id="{00000000-0008-0000-0000-0000D1040000}"/>
            </a:ext>
          </a:extLst>
        </xdr:cNvPr>
        <xdr:cNvGrpSpPr>
          <a:grpSpLocks/>
        </xdr:cNvGrpSpPr>
      </xdr:nvGrpSpPr>
      <xdr:grpSpPr bwMode="auto">
        <a:xfrm rot="80297" flipH="1">
          <a:off x="824931" y="25135114"/>
          <a:ext cx="333375" cy="0"/>
          <a:chOff x="98" y="425"/>
          <a:chExt cx="93" cy="103"/>
        </a:xfrm>
      </xdr:grpSpPr>
      <xdr:sp macro="" textlink="">
        <xdr:nvSpPr>
          <xdr:cNvPr id="1234" name="Freeform 486">
            <a:extLst>
              <a:ext uri="{FF2B5EF4-FFF2-40B4-BE49-F238E27FC236}">
                <a16:creationId xmlns:a16="http://schemas.microsoft.com/office/drawing/2014/main" id="{00000000-0008-0000-0000-0000D2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35" name="Freeform 487">
            <a:extLst>
              <a:ext uri="{FF2B5EF4-FFF2-40B4-BE49-F238E27FC236}">
                <a16:creationId xmlns:a16="http://schemas.microsoft.com/office/drawing/2014/main" id="{00000000-0008-0000-0000-0000D3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36" name="Freeform 488">
            <a:extLst>
              <a:ext uri="{FF2B5EF4-FFF2-40B4-BE49-F238E27FC236}">
                <a16:creationId xmlns:a16="http://schemas.microsoft.com/office/drawing/2014/main" id="{00000000-0008-0000-0000-0000D4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37" name="Group 485">
          <a:extLst>
            <a:ext uri="{FF2B5EF4-FFF2-40B4-BE49-F238E27FC236}">
              <a16:creationId xmlns:a16="http://schemas.microsoft.com/office/drawing/2014/main" id="{00000000-0008-0000-0000-0000D5040000}"/>
            </a:ext>
          </a:extLst>
        </xdr:cNvPr>
        <xdr:cNvGrpSpPr>
          <a:grpSpLocks/>
        </xdr:cNvGrpSpPr>
      </xdr:nvGrpSpPr>
      <xdr:grpSpPr bwMode="auto">
        <a:xfrm rot="80297" flipH="1">
          <a:off x="824931" y="25135114"/>
          <a:ext cx="333375" cy="310596"/>
          <a:chOff x="98" y="425"/>
          <a:chExt cx="93" cy="103"/>
        </a:xfrm>
      </xdr:grpSpPr>
      <xdr:sp macro="" textlink="">
        <xdr:nvSpPr>
          <xdr:cNvPr id="1238" name="Freeform 486">
            <a:extLst>
              <a:ext uri="{FF2B5EF4-FFF2-40B4-BE49-F238E27FC236}">
                <a16:creationId xmlns:a16="http://schemas.microsoft.com/office/drawing/2014/main" id="{00000000-0008-0000-0000-0000D6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39" name="Freeform 487">
            <a:extLst>
              <a:ext uri="{FF2B5EF4-FFF2-40B4-BE49-F238E27FC236}">
                <a16:creationId xmlns:a16="http://schemas.microsoft.com/office/drawing/2014/main" id="{00000000-0008-0000-0000-0000D7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40" name="Freeform 488">
            <a:extLst>
              <a:ext uri="{FF2B5EF4-FFF2-40B4-BE49-F238E27FC236}">
                <a16:creationId xmlns:a16="http://schemas.microsoft.com/office/drawing/2014/main" id="{00000000-0008-0000-0000-0000D8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41" name="Group 485">
          <a:extLst>
            <a:ext uri="{FF2B5EF4-FFF2-40B4-BE49-F238E27FC236}">
              <a16:creationId xmlns:a16="http://schemas.microsoft.com/office/drawing/2014/main" id="{00000000-0008-0000-0000-0000D9040000}"/>
            </a:ext>
          </a:extLst>
        </xdr:cNvPr>
        <xdr:cNvGrpSpPr>
          <a:grpSpLocks/>
        </xdr:cNvGrpSpPr>
      </xdr:nvGrpSpPr>
      <xdr:grpSpPr bwMode="auto">
        <a:xfrm rot="80297" flipH="1">
          <a:off x="824931" y="25135114"/>
          <a:ext cx="333375" cy="0"/>
          <a:chOff x="98" y="425"/>
          <a:chExt cx="93" cy="103"/>
        </a:xfrm>
      </xdr:grpSpPr>
      <xdr:sp macro="" textlink="">
        <xdr:nvSpPr>
          <xdr:cNvPr id="1242" name="Freeform 486">
            <a:extLst>
              <a:ext uri="{FF2B5EF4-FFF2-40B4-BE49-F238E27FC236}">
                <a16:creationId xmlns:a16="http://schemas.microsoft.com/office/drawing/2014/main" id="{00000000-0008-0000-0000-0000DA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43" name="Freeform 487">
            <a:extLst>
              <a:ext uri="{FF2B5EF4-FFF2-40B4-BE49-F238E27FC236}">
                <a16:creationId xmlns:a16="http://schemas.microsoft.com/office/drawing/2014/main" id="{00000000-0008-0000-0000-0000DB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44" name="Freeform 488">
            <a:extLst>
              <a:ext uri="{FF2B5EF4-FFF2-40B4-BE49-F238E27FC236}">
                <a16:creationId xmlns:a16="http://schemas.microsoft.com/office/drawing/2014/main" id="{00000000-0008-0000-0000-0000DC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45" name="Group 485">
          <a:extLst>
            <a:ext uri="{FF2B5EF4-FFF2-40B4-BE49-F238E27FC236}">
              <a16:creationId xmlns:a16="http://schemas.microsoft.com/office/drawing/2014/main" id="{00000000-0008-0000-0000-0000DD040000}"/>
            </a:ext>
          </a:extLst>
        </xdr:cNvPr>
        <xdr:cNvGrpSpPr>
          <a:grpSpLocks/>
        </xdr:cNvGrpSpPr>
      </xdr:nvGrpSpPr>
      <xdr:grpSpPr bwMode="auto">
        <a:xfrm rot="80297" flipH="1">
          <a:off x="824931" y="25135114"/>
          <a:ext cx="333375" cy="310596"/>
          <a:chOff x="98" y="425"/>
          <a:chExt cx="93" cy="103"/>
        </a:xfrm>
      </xdr:grpSpPr>
      <xdr:sp macro="" textlink="">
        <xdr:nvSpPr>
          <xdr:cNvPr id="1246" name="Freeform 486">
            <a:extLst>
              <a:ext uri="{FF2B5EF4-FFF2-40B4-BE49-F238E27FC236}">
                <a16:creationId xmlns:a16="http://schemas.microsoft.com/office/drawing/2014/main" id="{00000000-0008-0000-0000-0000DE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47" name="Freeform 487">
            <a:extLst>
              <a:ext uri="{FF2B5EF4-FFF2-40B4-BE49-F238E27FC236}">
                <a16:creationId xmlns:a16="http://schemas.microsoft.com/office/drawing/2014/main" id="{00000000-0008-0000-0000-0000DF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48" name="Freeform 488">
            <a:extLst>
              <a:ext uri="{FF2B5EF4-FFF2-40B4-BE49-F238E27FC236}">
                <a16:creationId xmlns:a16="http://schemas.microsoft.com/office/drawing/2014/main" id="{00000000-0008-0000-0000-0000E0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49" name="Group 485">
          <a:extLst>
            <a:ext uri="{FF2B5EF4-FFF2-40B4-BE49-F238E27FC236}">
              <a16:creationId xmlns:a16="http://schemas.microsoft.com/office/drawing/2014/main" id="{00000000-0008-0000-0000-0000E1040000}"/>
            </a:ext>
          </a:extLst>
        </xdr:cNvPr>
        <xdr:cNvGrpSpPr>
          <a:grpSpLocks/>
        </xdr:cNvGrpSpPr>
      </xdr:nvGrpSpPr>
      <xdr:grpSpPr bwMode="auto">
        <a:xfrm rot="80297" flipH="1">
          <a:off x="824931" y="25135114"/>
          <a:ext cx="333375" cy="0"/>
          <a:chOff x="98" y="425"/>
          <a:chExt cx="93" cy="103"/>
        </a:xfrm>
      </xdr:grpSpPr>
      <xdr:sp macro="" textlink="">
        <xdr:nvSpPr>
          <xdr:cNvPr id="1250" name="Freeform 486">
            <a:extLst>
              <a:ext uri="{FF2B5EF4-FFF2-40B4-BE49-F238E27FC236}">
                <a16:creationId xmlns:a16="http://schemas.microsoft.com/office/drawing/2014/main" id="{00000000-0008-0000-0000-0000E2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51" name="Freeform 487">
            <a:extLst>
              <a:ext uri="{FF2B5EF4-FFF2-40B4-BE49-F238E27FC236}">
                <a16:creationId xmlns:a16="http://schemas.microsoft.com/office/drawing/2014/main" id="{00000000-0008-0000-0000-0000E3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52" name="Freeform 488">
            <a:extLst>
              <a:ext uri="{FF2B5EF4-FFF2-40B4-BE49-F238E27FC236}">
                <a16:creationId xmlns:a16="http://schemas.microsoft.com/office/drawing/2014/main" id="{00000000-0008-0000-0000-0000E4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53" name="Group 485">
          <a:extLst>
            <a:ext uri="{FF2B5EF4-FFF2-40B4-BE49-F238E27FC236}">
              <a16:creationId xmlns:a16="http://schemas.microsoft.com/office/drawing/2014/main" id="{00000000-0008-0000-0000-0000E5040000}"/>
            </a:ext>
          </a:extLst>
        </xdr:cNvPr>
        <xdr:cNvGrpSpPr>
          <a:grpSpLocks/>
        </xdr:cNvGrpSpPr>
      </xdr:nvGrpSpPr>
      <xdr:grpSpPr bwMode="auto">
        <a:xfrm rot="80297" flipH="1">
          <a:off x="824931" y="25135114"/>
          <a:ext cx="333375" cy="310596"/>
          <a:chOff x="98" y="425"/>
          <a:chExt cx="93" cy="103"/>
        </a:xfrm>
      </xdr:grpSpPr>
      <xdr:sp macro="" textlink="">
        <xdr:nvSpPr>
          <xdr:cNvPr id="1254" name="Freeform 486">
            <a:extLst>
              <a:ext uri="{FF2B5EF4-FFF2-40B4-BE49-F238E27FC236}">
                <a16:creationId xmlns:a16="http://schemas.microsoft.com/office/drawing/2014/main" id="{00000000-0008-0000-0000-0000E6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55" name="Freeform 487">
            <a:extLst>
              <a:ext uri="{FF2B5EF4-FFF2-40B4-BE49-F238E27FC236}">
                <a16:creationId xmlns:a16="http://schemas.microsoft.com/office/drawing/2014/main" id="{00000000-0008-0000-0000-0000E7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56" name="Freeform 488">
            <a:extLst>
              <a:ext uri="{FF2B5EF4-FFF2-40B4-BE49-F238E27FC236}">
                <a16:creationId xmlns:a16="http://schemas.microsoft.com/office/drawing/2014/main" id="{00000000-0008-0000-0000-0000E8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57" name="Group 485">
          <a:extLst>
            <a:ext uri="{FF2B5EF4-FFF2-40B4-BE49-F238E27FC236}">
              <a16:creationId xmlns:a16="http://schemas.microsoft.com/office/drawing/2014/main" id="{00000000-0008-0000-0000-0000E9040000}"/>
            </a:ext>
          </a:extLst>
        </xdr:cNvPr>
        <xdr:cNvGrpSpPr>
          <a:grpSpLocks/>
        </xdr:cNvGrpSpPr>
      </xdr:nvGrpSpPr>
      <xdr:grpSpPr bwMode="auto">
        <a:xfrm rot="80297" flipH="1">
          <a:off x="824931" y="25135114"/>
          <a:ext cx="333375" cy="0"/>
          <a:chOff x="98" y="425"/>
          <a:chExt cx="93" cy="103"/>
        </a:xfrm>
      </xdr:grpSpPr>
      <xdr:sp macro="" textlink="">
        <xdr:nvSpPr>
          <xdr:cNvPr id="1258" name="Freeform 486">
            <a:extLst>
              <a:ext uri="{FF2B5EF4-FFF2-40B4-BE49-F238E27FC236}">
                <a16:creationId xmlns:a16="http://schemas.microsoft.com/office/drawing/2014/main" id="{00000000-0008-0000-0000-0000EA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59" name="Freeform 487">
            <a:extLst>
              <a:ext uri="{FF2B5EF4-FFF2-40B4-BE49-F238E27FC236}">
                <a16:creationId xmlns:a16="http://schemas.microsoft.com/office/drawing/2014/main" id="{00000000-0008-0000-0000-0000EB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60" name="Freeform 488">
            <a:extLst>
              <a:ext uri="{FF2B5EF4-FFF2-40B4-BE49-F238E27FC236}">
                <a16:creationId xmlns:a16="http://schemas.microsoft.com/office/drawing/2014/main" id="{00000000-0008-0000-0000-0000EC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61" name="Group 485">
          <a:extLst>
            <a:ext uri="{FF2B5EF4-FFF2-40B4-BE49-F238E27FC236}">
              <a16:creationId xmlns:a16="http://schemas.microsoft.com/office/drawing/2014/main" id="{00000000-0008-0000-0000-0000ED040000}"/>
            </a:ext>
          </a:extLst>
        </xdr:cNvPr>
        <xdr:cNvGrpSpPr>
          <a:grpSpLocks/>
        </xdr:cNvGrpSpPr>
      </xdr:nvGrpSpPr>
      <xdr:grpSpPr bwMode="auto">
        <a:xfrm rot="80297" flipH="1">
          <a:off x="824931" y="25135114"/>
          <a:ext cx="333375" cy="310596"/>
          <a:chOff x="98" y="425"/>
          <a:chExt cx="93" cy="103"/>
        </a:xfrm>
      </xdr:grpSpPr>
      <xdr:sp macro="" textlink="">
        <xdr:nvSpPr>
          <xdr:cNvPr id="1262" name="Freeform 486">
            <a:extLst>
              <a:ext uri="{FF2B5EF4-FFF2-40B4-BE49-F238E27FC236}">
                <a16:creationId xmlns:a16="http://schemas.microsoft.com/office/drawing/2014/main" id="{00000000-0008-0000-0000-0000EE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63" name="Freeform 487">
            <a:extLst>
              <a:ext uri="{FF2B5EF4-FFF2-40B4-BE49-F238E27FC236}">
                <a16:creationId xmlns:a16="http://schemas.microsoft.com/office/drawing/2014/main" id="{00000000-0008-0000-0000-0000EF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64" name="Freeform 488">
            <a:extLst>
              <a:ext uri="{FF2B5EF4-FFF2-40B4-BE49-F238E27FC236}">
                <a16:creationId xmlns:a16="http://schemas.microsoft.com/office/drawing/2014/main" id="{00000000-0008-0000-0000-0000F0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65" name="Group 485">
          <a:extLst>
            <a:ext uri="{FF2B5EF4-FFF2-40B4-BE49-F238E27FC236}">
              <a16:creationId xmlns:a16="http://schemas.microsoft.com/office/drawing/2014/main" id="{00000000-0008-0000-0000-0000F1040000}"/>
            </a:ext>
          </a:extLst>
        </xdr:cNvPr>
        <xdr:cNvGrpSpPr>
          <a:grpSpLocks/>
        </xdr:cNvGrpSpPr>
      </xdr:nvGrpSpPr>
      <xdr:grpSpPr bwMode="auto">
        <a:xfrm rot="80297" flipH="1">
          <a:off x="824931" y="25135114"/>
          <a:ext cx="333375" cy="0"/>
          <a:chOff x="98" y="425"/>
          <a:chExt cx="93" cy="103"/>
        </a:xfrm>
      </xdr:grpSpPr>
      <xdr:sp macro="" textlink="">
        <xdr:nvSpPr>
          <xdr:cNvPr id="1266" name="Freeform 486">
            <a:extLst>
              <a:ext uri="{FF2B5EF4-FFF2-40B4-BE49-F238E27FC236}">
                <a16:creationId xmlns:a16="http://schemas.microsoft.com/office/drawing/2014/main" id="{00000000-0008-0000-0000-0000F2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67" name="Freeform 487">
            <a:extLst>
              <a:ext uri="{FF2B5EF4-FFF2-40B4-BE49-F238E27FC236}">
                <a16:creationId xmlns:a16="http://schemas.microsoft.com/office/drawing/2014/main" id="{00000000-0008-0000-0000-0000F3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68" name="Freeform 488">
            <a:extLst>
              <a:ext uri="{FF2B5EF4-FFF2-40B4-BE49-F238E27FC236}">
                <a16:creationId xmlns:a16="http://schemas.microsoft.com/office/drawing/2014/main" id="{00000000-0008-0000-0000-0000F4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69" name="Group 485">
          <a:extLst>
            <a:ext uri="{FF2B5EF4-FFF2-40B4-BE49-F238E27FC236}">
              <a16:creationId xmlns:a16="http://schemas.microsoft.com/office/drawing/2014/main" id="{00000000-0008-0000-0000-0000F5040000}"/>
            </a:ext>
          </a:extLst>
        </xdr:cNvPr>
        <xdr:cNvGrpSpPr>
          <a:grpSpLocks/>
        </xdr:cNvGrpSpPr>
      </xdr:nvGrpSpPr>
      <xdr:grpSpPr bwMode="auto">
        <a:xfrm rot="80297" flipH="1">
          <a:off x="824931" y="25135114"/>
          <a:ext cx="333375" cy="310596"/>
          <a:chOff x="98" y="425"/>
          <a:chExt cx="93" cy="103"/>
        </a:xfrm>
      </xdr:grpSpPr>
      <xdr:sp macro="" textlink="">
        <xdr:nvSpPr>
          <xdr:cNvPr id="1270" name="Freeform 486">
            <a:extLst>
              <a:ext uri="{FF2B5EF4-FFF2-40B4-BE49-F238E27FC236}">
                <a16:creationId xmlns:a16="http://schemas.microsoft.com/office/drawing/2014/main" id="{00000000-0008-0000-0000-0000F6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71" name="Freeform 487">
            <a:extLst>
              <a:ext uri="{FF2B5EF4-FFF2-40B4-BE49-F238E27FC236}">
                <a16:creationId xmlns:a16="http://schemas.microsoft.com/office/drawing/2014/main" id="{00000000-0008-0000-0000-0000F7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72" name="Freeform 488">
            <a:extLst>
              <a:ext uri="{FF2B5EF4-FFF2-40B4-BE49-F238E27FC236}">
                <a16:creationId xmlns:a16="http://schemas.microsoft.com/office/drawing/2014/main" id="{00000000-0008-0000-0000-0000F8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73" name="Group 485">
          <a:extLst>
            <a:ext uri="{FF2B5EF4-FFF2-40B4-BE49-F238E27FC236}">
              <a16:creationId xmlns:a16="http://schemas.microsoft.com/office/drawing/2014/main" id="{00000000-0008-0000-0000-0000F9040000}"/>
            </a:ext>
          </a:extLst>
        </xdr:cNvPr>
        <xdr:cNvGrpSpPr>
          <a:grpSpLocks/>
        </xdr:cNvGrpSpPr>
      </xdr:nvGrpSpPr>
      <xdr:grpSpPr bwMode="auto">
        <a:xfrm rot="80297" flipH="1">
          <a:off x="824931" y="25135114"/>
          <a:ext cx="333375" cy="0"/>
          <a:chOff x="98" y="425"/>
          <a:chExt cx="93" cy="103"/>
        </a:xfrm>
      </xdr:grpSpPr>
      <xdr:sp macro="" textlink="">
        <xdr:nvSpPr>
          <xdr:cNvPr id="1274" name="Freeform 486">
            <a:extLst>
              <a:ext uri="{FF2B5EF4-FFF2-40B4-BE49-F238E27FC236}">
                <a16:creationId xmlns:a16="http://schemas.microsoft.com/office/drawing/2014/main" id="{00000000-0008-0000-0000-0000FA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75" name="Freeform 487">
            <a:extLst>
              <a:ext uri="{FF2B5EF4-FFF2-40B4-BE49-F238E27FC236}">
                <a16:creationId xmlns:a16="http://schemas.microsoft.com/office/drawing/2014/main" id="{00000000-0008-0000-0000-0000FB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76" name="Freeform 488">
            <a:extLst>
              <a:ext uri="{FF2B5EF4-FFF2-40B4-BE49-F238E27FC236}">
                <a16:creationId xmlns:a16="http://schemas.microsoft.com/office/drawing/2014/main" id="{00000000-0008-0000-0000-0000FC04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77" name="Group 485">
          <a:extLst>
            <a:ext uri="{FF2B5EF4-FFF2-40B4-BE49-F238E27FC236}">
              <a16:creationId xmlns:a16="http://schemas.microsoft.com/office/drawing/2014/main" id="{00000000-0008-0000-0000-0000FD040000}"/>
            </a:ext>
          </a:extLst>
        </xdr:cNvPr>
        <xdr:cNvGrpSpPr>
          <a:grpSpLocks/>
        </xdr:cNvGrpSpPr>
      </xdr:nvGrpSpPr>
      <xdr:grpSpPr bwMode="auto">
        <a:xfrm rot="80297" flipH="1">
          <a:off x="824931" y="25135114"/>
          <a:ext cx="333375" cy="310596"/>
          <a:chOff x="98" y="425"/>
          <a:chExt cx="93" cy="103"/>
        </a:xfrm>
      </xdr:grpSpPr>
      <xdr:sp macro="" textlink="">
        <xdr:nvSpPr>
          <xdr:cNvPr id="1278" name="Freeform 486">
            <a:extLst>
              <a:ext uri="{FF2B5EF4-FFF2-40B4-BE49-F238E27FC236}">
                <a16:creationId xmlns:a16="http://schemas.microsoft.com/office/drawing/2014/main" id="{00000000-0008-0000-0000-0000FE04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79" name="Freeform 487">
            <a:extLst>
              <a:ext uri="{FF2B5EF4-FFF2-40B4-BE49-F238E27FC236}">
                <a16:creationId xmlns:a16="http://schemas.microsoft.com/office/drawing/2014/main" id="{00000000-0008-0000-0000-0000FF04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80" name="Freeform 488">
            <a:extLst>
              <a:ext uri="{FF2B5EF4-FFF2-40B4-BE49-F238E27FC236}">
                <a16:creationId xmlns:a16="http://schemas.microsoft.com/office/drawing/2014/main" id="{00000000-0008-0000-0000-00000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81" name="Group 485">
          <a:extLst>
            <a:ext uri="{FF2B5EF4-FFF2-40B4-BE49-F238E27FC236}">
              <a16:creationId xmlns:a16="http://schemas.microsoft.com/office/drawing/2014/main" id="{00000000-0008-0000-0000-000001050000}"/>
            </a:ext>
          </a:extLst>
        </xdr:cNvPr>
        <xdr:cNvGrpSpPr>
          <a:grpSpLocks/>
        </xdr:cNvGrpSpPr>
      </xdr:nvGrpSpPr>
      <xdr:grpSpPr bwMode="auto">
        <a:xfrm rot="80297" flipH="1">
          <a:off x="824931" y="25135114"/>
          <a:ext cx="333375" cy="0"/>
          <a:chOff x="98" y="425"/>
          <a:chExt cx="93" cy="103"/>
        </a:xfrm>
      </xdr:grpSpPr>
      <xdr:sp macro="" textlink="">
        <xdr:nvSpPr>
          <xdr:cNvPr id="1282" name="Freeform 486">
            <a:extLst>
              <a:ext uri="{FF2B5EF4-FFF2-40B4-BE49-F238E27FC236}">
                <a16:creationId xmlns:a16="http://schemas.microsoft.com/office/drawing/2014/main" id="{00000000-0008-0000-0000-00000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83" name="Freeform 487">
            <a:extLst>
              <a:ext uri="{FF2B5EF4-FFF2-40B4-BE49-F238E27FC236}">
                <a16:creationId xmlns:a16="http://schemas.microsoft.com/office/drawing/2014/main" id="{00000000-0008-0000-0000-00000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84" name="Freeform 488">
            <a:extLst>
              <a:ext uri="{FF2B5EF4-FFF2-40B4-BE49-F238E27FC236}">
                <a16:creationId xmlns:a16="http://schemas.microsoft.com/office/drawing/2014/main" id="{00000000-0008-0000-0000-00000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85" name="Group 485">
          <a:extLst>
            <a:ext uri="{FF2B5EF4-FFF2-40B4-BE49-F238E27FC236}">
              <a16:creationId xmlns:a16="http://schemas.microsoft.com/office/drawing/2014/main" id="{00000000-0008-0000-0000-000005050000}"/>
            </a:ext>
          </a:extLst>
        </xdr:cNvPr>
        <xdr:cNvGrpSpPr>
          <a:grpSpLocks/>
        </xdr:cNvGrpSpPr>
      </xdr:nvGrpSpPr>
      <xdr:grpSpPr bwMode="auto">
        <a:xfrm rot="80297" flipH="1">
          <a:off x="824931" y="25135114"/>
          <a:ext cx="333375" cy="310596"/>
          <a:chOff x="98" y="425"/>
          <a:chExt cx="93" cy="103"/>
        </a:xfrm>
      </xdr:grpSpPr>
      <xdr:sp macro="" textlink="">
        <xdr:nvSpPr>
          <xdr:cNvPr id="1286" name="Freeform 486">
            <a:extLst>
              <a:ext uri="{FF2B5EF4-FFF2-40B4-BE49-F238E27FC236}">
                <a16:creationId xmlns:a16="http://schemas.microsoft.com/office/drawing/2014/main" id="{00000000-0008-0000-0000-00000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87" name="Freeform 487">
            <a:extLst>
              <a:ext uri="{FF2B5EF4-FFF2-40B4-BE49-F238E27FC236}">
                <a16:creationId xmlns:a16="http://schemas.microsoft.com/office/drawing/2014/main" id="{00000000-0008-0000-0000-00000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88" name="Freeform 488">
            <a:extLst>
              <a:ext uri="{FF2B5EF4-FFF2-40B4-BE49-F238E27FC236}">
                <a16:creationId xmlns:a16="http://schemas.microsoft.com/office/drawing/2014/main" id="{00000000-0008-0000-0000-00000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89" name="Group 485">
          <a:extLst>
            <a:ext uri="{FF2B5EF4-FFF2-40B4-BE49-F238E27FC236}">
              <a16:creationId xmlns:a16="http://schemas.microsoft.com/office/drawing/2014/main" id="{00000000-0008-0000-0000-000009050000}"/>
            </a:ext>
          </a:extLst>
        </xdr:cNvPr>
        <xdr:cNvGrpSpPr>
          <a:grpSpLocks/>
        </xdr:cNvGrpSpPr>
      </xdr:nvGrpSpPr>
      <xdr:grpSpPr bwMode="auto">
        <a:xfrm rot="80297" flipH="1">
          <a:off x="824931" y="25135114"/>
          <a:ext cx="333375" cy="0"/>
          <a:chOff x="98" y="425"/>
          <a:chExt cx="93" cy="103"/>
        </a:xfrm>
      </xdr:grpSpPr>
      <xdr:sp macro="" textlink="">
        <xdr:nvSpPr>
          <xdr:cNvPr id="1290" name="Freeform 486">
            <a:extLst>
              <a:ext uri="{FF2B5EF4-FFF2-40B4-BE49-F238E27FC236}">
                <a16:creationId xmlns:a16="http://schemas.microsoft.com/office/drawing/2014/main" id="{00000000-0008-0000-0000-00000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91" name="Freeform 487">
            <a:extLst>
              <a:ext uri="{FF2B5EF4-FFF2-40B4-BE49-F238E27FC236}">
                <a16:creationId xmlns:a16="http://schemas.microsoft.com/office/drawing/2014/main" id="{00000000-0008-0000-0000-00000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92" name="Freeform 488">
            <a:extLst>
              <a:ext uri="{FF2B5EF4-FFF2-40B4-BE49-F238E27FC236}">
                <a16:creationId xmlns:a16="http://schemas.microsoft.com/office/drawing/2014/main" id="{00000000-0008-0000-0000-00000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293" name="Group 485">
          <a:extLst>
            <a:ext uri="{FF2B5EF4-FFF2-40B4-BE49-F238E27FC236}">
              <a16:creationId xmlns:a16="http://schemas.microsoft.com/office/drawing/2014/main" id="{00000000-0008-0000-0000-00000D050000}"/>
            </a:ext>
          </a:extLst>
        </xdr:cNvPr>
        <xdr:cNvGrpSpPr>
          <a:grpSpLocks/>
        </xdr:cNvGrpSpPr>
      </xdr:nvGrpSpPr>
      <xdr:grpSpPr bwMode="auto">
        <a:xfrm rot="80297" flipH="1">
          <a:off x="824931" y="25135114"/>
          <a:ext cx="333375" cy="310596"/>
          <a:chOff x="98" y="425"/>
          <a:chExt cx="93" cy="103"/>
        </a:xfrm>
      </xdr:grpSpPr>
      <xdr:sp macro="" textlink="">
        <xdr:nvSpPr>
          <xdr:cNvPr id="1294" name="Freeform 486">
            <a:extLst>
              <a:ext uri="{FF2B5EF4-FFF2-40B4-BE49-F238E27FC236}">
                <a16:creationId xmlns:a16="http://schemas.microsoft.com/office/drawing/2014/main" id="{00000000-0008-0000-0000-00000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95" name="Freeform 487">
            <a:extLst>
              <a:ext uri="{FF2B5EF4-FFF2-40B4-BE49-F238E27FC236}">
                <a16:creationId xmlns:a16="http://schemas.microsoft.com/office/drawing/2014/main" id="{00000000-0008-0000-0000-00000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96" name="Freeform 488">
            <a:extLst>
              <a:ext uri="{FF2B5EF4-FFF2-40B4-BE49-F238E27FC236}">
                <a16:creationId xmlns:a16="http://schemas.microsoft.com/office/drawing/2014/main" id="{00000000-0008-0000-0000-00001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297" name="Group 485">
          <a:extLst>
            <a:ext uri="{FF2B5EF4-FFF2-40B4-BE49-F238E27FC236}">
              <a16:creationId xmlns:a16="http://schemas.microsoft.com/office/drawing/2014/main" id="{00000000-0008-0000-0000-000011050000}"/>
            </a:ext>
          </a:extLst>
        </xdr:cNvPr>
        <xdr:cNvGrpSpPr>
          <a:grpSpLocks/>
        </xdr:cNvGrpSpPr>
      </xdr:nvGrpSpPr>
      <xdr:grpSpPr bwMode="auto">
        <a:xfrm rot="80297" flipH="1">
          <a:off x="824931" y="25135114"/>
          <a:ext cx="333375" cy="0"/>
          <a:chOff x="98" y="425"/>
          <a:chExt cx="93" cy="103"/>
        </a:xfrm>
      </xdr:grpSpPr>
      <xdr:sp macro="" textlink="">
        <xdr:nvSpPr>
          <xdr:cNvPr id="1298" name="Freeform 486">
            <a:extLst>
              <a:ext uri="{FF2B5EF4-FFF2-40B4-BE49-F238E27FC236}">
                <a16:creationId xmlns:a16="http://schemas.microsoft.com/office/drawing/2014/main" id="{00000000-0008-0000-0000-00001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299" name="Freeform 487">
            <a:extLst>
              <a:ext uri="{FF2B5EF4-FFF2-40B4-BE49-F238E27FC236}">
                <a16:creationId xmlns:a16="http://schemas.microsoft.com/office/drawing/2014/main" id="{00000000-0008-0000-0000-00001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00" name="Freeform 488">
            <a:extLst>
              <a:ext uri="{FF2B5EF4-FFF2-40B4-BE49-F238E27FC236}">
                <a16:creationId xmlns:a16="http://schemas.microsoft.com/office/drawing/2014/main" id="{00000000-0008-0000-0000-00001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01" name="Group 485">
          <a:extLst>
            <a:ext uri="{FF2B5EF4-FFF2-40B4-BE49-F238E27FC236}">
              <a16:creationId xmlns:a16="http://schemas.microsoft.com/office/drawing/2014/main" id="{00000000-0008-0000-0000-000015050000}"/>
            </a:ext>
          </a:extLst>
        </xdr:cNvPr>
        <xdr:cNvGrpSpPr>
          <a:grpSpLocks/>
        </xdr:cNvGrpSpPr>
      </xdr:nvGrpSpPr>
      <xdr:grpSpPr bwMode="auto">
        <a:xfrm rot="80297" flipH="1">
          <a:off x="824931" y="25135114"/>
          <a:ext cx="333375" cy="310596"/>
          <a:chOff x="98" y="425"/>
          <a:chExt cx="93" cy="103"/>
        </a:xfrm>
      </xdr:grpSpPr>
      <xdr:sp macro="" textlink="">
        <xdr:nvSpPr>
          <xdr:cNvPr id="1302" name="Freeform 486">
            <a:extLst>
              <a:ext uri="{FF2B5EF4-FFF2-40B4-BE49-F238E27FC236}">
                <a16:creationId xmlns:a16="http://schemas.microsoft.com/office/drawing/2014/main" id="{00000000-0008-0000-0000-00001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03" name="Freeform 487">
            <a:extLst>
              <a:ext uri="{FF2B5EF4-FFF2-40B4-BE49-F238E27FC236}">
                <a16:creationId xmlns:a16="http://schemas.microsoft.com/office/drawing/2014/main" id="{00000000-0008-0000-0000-00001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04" name="Freeform 488">
            <a:extLst>
              <a:ext uri="{FF2B5EF4-FFF2-40B4-BE49-F238E27FC236}">
                <a16:creationId xmlns:a16="http://schemas.microsoft.com/office/drawing/2014/main" id="{00000000-0008-0000-0000-00001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05" name="Group 485">
          <a:extLst>
            <a:ext uri="{FF2B5EF4-FFF2-40B4-BE49-F238E27FC236}">
              <a16:creationId xmlns:a16="http://schemas.microsoft.com/office/drawing/2014/main" id="{00000000-0008-0000-0000-000019050000}"/>
            </a:ext>
          </a:extLst>
        </xdr:cNvPr>
        <xdr:cNvGrpSpPr>
          <a:grpSpLocks/>
        </xdr:cNvGrpSpPr>
      </xdr:nvGrpSpPr>
      <xdr:grpSpPr bwMode="auto">
        <a:xfrm rot="80297" flipH="1">
          <a:off x="824931" y="25135114"/>
          <a:ext cx="333375" cy="0"/>
          <a:chOff x="98" y="425"/>
          <a:chExt cx="93" cy="103"/>
        </a:xfrm>
      </xdr:grpSpPr>
      <xdr:sp macro="" textlink="">
        <xdr:nvSpPr>
          <xdr:cNvPr id="1306" name="Freeform 486">
            <a:extLst>
              <a:ext uri="{FF2B5EF4-FFF2-40B4-BE49-F238E27FC236}">
                <a16:creationId xmlns:a16="http://schemas.microsoft.com/office/drawing/2014/main" id="{00000000-0008-0000-0000-00001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07" name="Freeform 487">
            <a:extLst>
              <a:ext uri="{FF2B5EF4-FFF2-40B4-BE49-F238E27FC236}">
                <a16:creationId xmlns:a16="http://schemas.microsoft.com/office/drawing/2014/main" id="{00000000-0008-0000-0000-00001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08" name="Freeform 488">
            <a:extLst>
              <a:ext uri="{FF2B5EF4-FFF2-40B4-BE49-F238E27FC236}">
                <a16:creationId xmlns:a16="http://schemas.microsoft.com/office/drawing/2014/main" id="{00000000-0008-0000-0000-00001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09" name="Group 485">
          <a:extLst>
            <a:ext uri="{FF2B5EF4-FFF2-40B4-BE49-F238E27FC236}">
              <a16:creationId xmlns:a16="http://schemas.microsoft.com/office/drawing/2014/main" id="{00000000-0008-0000-0000-00001D050000}"/>
            </a:ext>
          </a:extLst>
        </xdr:cNvPr>
        <xdr:cNvGrpSpPr>
          <a:grpSpLocks/>
        </xdr:cNvGrpSpPr>
      </xdr:nvGrpSpPr>
      <xdr:grpSpPr bwMode="auto">
        <a:xfrm rot="80297" flipH="1">
          <a:off x="824931" y="25135114"/>
          <a:ext cx="333375" cy="310596"/>
          <a:chOff x="98" y="425"/>
          <a:chExt cx="93" cy="103"/>
        </a:xfrm>
      </xdr:grpSpPr>
      <xdr:sp macro="" textlink="">
        <xdr:nvSpPr>
          <xdr:cNvPr id="1310" name="Freeform 486">
            <a:extLst>
              <a:ext uri="{FF2B5EF4-FFF2-40B4-BE49-F238E27FC236}">
                <a16:creationId xmlns:a16="http://schemas.microsoft.com/office/drawing/2014/main" id="{00000000-0008-0000-0000-00001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11" name="Freeform 487">
            <a:extLst>
              <a:ext uri="{FF2B5EF4-FFF2-40B4-BE49-F238E27FC236}">
                <a16:creationId xmlns:a16="http://schemas.microsoft.com/office/drawing/2014/main" id="{00000000-0008-0000-0000-00001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12" name="Freeform 488">
            <a:extLst>
              <a:ext uri="{FF2B5EF4-FFF2-40B4-BE49-F238E27FC236}">
                <a16:creationId xmlns:a16="http://schemas.microsoft.com/office/drawing/2014/main" id="{00000000-0008-0000-0000-00002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13" name="Group 485">
          <a:extLst>
            <a:ext uri="{FF2B5EF4-FFF2-40B4-BE49-F238E27FC236}">
              <a16:creationId xmlns:a16="http://schemas.microsoft.com/office/drawing/2014/main" id="{00000000-0008-0000-0000-000021050000}"/>
            </a:ext>
          </a:extLst>
        </xdr:cNvPr>
        <xdr:cNvGrpSpPr>
          <a:grpSpLocks/>
        </xdr:cNvGrpSpPr>
      </xdr:nvGrpSpPr>
      <xdr:grpSpPr bwMode="auto">
        <a:xfrm rot="80297" flipH="1">
          <a:off x="824931" y="25135114"/>
          <a:ext cx="333375" cy="0"/>
          <a:chOff x="98" y="425"/>
          <a:chExt cx="93" cy="103"/>
        </a:xfrm>
      </xdr:grpSpPr>
      <xdr:sp macro="" textlink="">
        <xdr:nvSpPr>
          <xdr:cNvPr id="1314" name="Freeform 486">
            <a:extLst>
              <a:ext uri="{FF2B5EF4-FFF2-40B4-BE49-F238E27FC236}">
                <a16:creationId xmlns:a16="http://schemas.microsoft.com/office/drawing/2014/main" id="{00000000-0008-0000-0000-00002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15" name="Freeform 487">
            <a:extLst>
              <a:ext uri="{FF2B5EF4-FFF2-40B4-BE49-F238E27FC236}">
                <a16:creationId xmlns:a16="http://schemas.microsoft.com/office/drawing/2014/main" id="{00000000-0008-0000-0000-00002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16" name="Freeform 488">
            <a:extLst>
              <a:ext uri="{FF2B5EF4-FFF2-40B4-BE49-F238E27FC236}">
                <a16:creationId xmlns:a16="http://schemas.microsoft.com/office/drawing/2014/main" id="{00000000-0008-0000-0000-00002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17" name="Group 485">
          <a:extLst>
            <a:ext uri="{FF2B5EF4-FFF2-40B4-BE49-F238E27FC236}">
              <a16:creationId xmlns:a16="http://schemas.microsoft.com/office/drawing/2014/main" id="{00000000-0008-0000-0000-000025050000}"/>
            </a:ext>
          </a:extLst>
        </xdr:cNvPr>
        <xdr:cNvGrpSpPr>
          <a:grpSpLocks/>
        </xdr:cNvGrpSpPr>
      </xdr:nvGrpSpPr>
      <xdr:grpSpPr bwMode="auto">
        <a:xfrm rot="80297" flipH="1">
          <a:off x="824931" y="25135114"/>
          <a:ext cx="333375" cy="310596"/>
          <a:chOff x="98" y="425"/>
          <a:chExt cx="93" cy="103"/>
        </a:xfrm>
      </xdr:grpSpPr>
      <xdr:sp macro="" textlink="">
        <xdr:nvSpPr>
          <xdr:cNvPr id="1318" name="Freeform 486">
            <a:extLst>
              <a:ext uri="{FF2B5EF4-FFF2-40B4-BE49-F238E27FC236}">
                <a16:creationId xmlns:a16="http://schemas.microsoft.com/office/drawing/2014/main" id="{00000000-0008-0000-0000-00002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19" name="Freeform 487">
            <a:extLst>
              <a:ext uri="{FF2B5EF4-FFF2-40B4-BE49-F238E27FC236}">
                <a16:creationId xmlns:a16="http://schemas.microsoft.com/office/drawing/2014/main" id="{00000000-0008-0000-0000-00002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20" name="Freeform 488">
            <a:extLst>
              <a:ext uri="{FF2B5EF4-FFF2-40B4-BE49-F238E27FC236}">
                <a16:creationId xmlns:a16="http://schemas.microsoft.com/office/drawing/2014/main" id="{00000000-0008-0000-0000-00002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21" name="Group 485">
          <a:extLst>
            <a:ext uri="{FF2B5EF4-FFF2-40B4-BE49-F238E27FC236}">
              <a16:creationId xmlns:a16="http://schemas.microsoft.com/office/drawing/2014/main" id="{00000000-0008-0000-0000-000029050000}"/>
            </a:ext>
          </a:extLst>
        </xdr:cNvPr>
        <xdr:cNvGrpSpPr>
          <a:grpSpLocks/>
        </xdr:cNvGrpSpPr>
      </xdr:nvGrpSpPr>
      <xdr:grpSpPr bwMode="auto">
        <a:xfrm rot="80297" flipH="1">
          <a:off x="824931" y="25135114"/>
          <a:ext cx="333375" cy="0"/>
          <a:chOff x="98" y="425"/>
          <a:chExt cx="93" cy="103"/>
        </a:xfrm>
      </xdr:grpSpPr>
      <xdr:sp macro="" textlink="">
        <xdr:nvSpPr>
          <xdr:cNvPr id="1322" name="Freeform 486">
            <a:extLst>
              <a:ext uri="{FF2B5EF4-FFF2-40B4-BE49-F238E27FC236}">
                <a16:creationId xmlns:a16="http://schemas.microsoft.com/office/drawing/2014/main" id="{00000000-0008-0000-0000-00002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23" name="Freeform 487">
            <a:extLst>
              <a:ext uri="{FF2B5EF4-FFF2-40B4-BE49-F238E27FC236}">
                <a16:creationId xmlns:a16="http://schemas.microsoft.com/office/drawing/2014/main" id="{00000000-0008-0000-0000-00002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24" name="Freeform 488">
            <a:extLst>
              <a:ext uri="{FF2B5EF4-FFF2-40B4-BE49-F238E27FC236}">
                <a16:creationId xmlns:a16="http://schemas.microsoft.com/office/drawing/2014/main" id="{00000000-0008-0000-0000-00002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25" name="Group 485">
          <a:extLst>
            <a:ext uri="{FF2B5EF4-FFF2-40B4-BE49-F238E27FC236}">
              <a16:creationId xmlns:a16="http://schemas.microsoft.com/office/drawing/2014/main" id="{00000000-0008-0000-0000-00002D050000}"/>
            </a:ext>
          </a:extLst>
        </xdr:cNvPr>
        <xdr:cNvGrpSpPr>
          <a:grpSpLocks/>
        </xdr:cNvGrpSpPr>
      </xdr:nvGrpSpPr>
      <xdr:grpSpPr bwMode="auto">
        <a:xfrm rot="80297" flipH="1">
          <a:off x="824931" y="25135114"/>
          <a:ext cx="333375" cy="310596"/>
          <a:chOff x="98" y="425"/>
          <a:chExt cx="93" cy="103"/>
        </a:xfrm>
      </xdr:grpSpPr>
      <xdr:sp macro="" textlink="">
        <xdr:nvSpPr>
          <xdr:cNvPr id="1326" name="Freeform 486">
            <a:extLst>
              <a:ext uri="{FF2B5EF4-FFF2-40B4-BE49-F238E27FC236}">
                <a16:creationId xmlns:a16="http://schemas.microsoft.com/office/drawing/2014/main" id="{00000000-0008-0000-0000-00002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27" name="Freeform 487">
            <a:extLst>
              <a:ext uri="{FF2B5EF4-FFF2-40B4-BE49-F238E27FC236}">
                <a16:creationId xmlns:a16="http://schemas.microsoft.com/office/drawing/2014/main" id="{00000000-0008-0000-0000-00002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28" name="Freeform 488">
            <a:extLst>
              <a:ext uri="{FF2B5EF4-FFF2-40B4-BE49-F238E27FC236}">
                <a16:creationId xmlns:a16="http://schemas.microsoft.com/office/drawing/2014/main" id="{00000000-0008-0000-0000-00003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29" name="Group 485">
          <a:extLst>
            <a:ext uri="{FF2B5EF4-FFF2-40B4-BE49-F238E27FC236}">
              <a16:creationId xmlns:a16="http://schemas.microsoft.com/office/drawing/2014/main" id="{00000000-0008-0000-0000-000031050000}"/>
            </a:ext>
          </a:extLst>
        </xdr:cNvPr>
        <xdr:cNvGrpSpPr>
          <a:grpSpLocks/>
        </xdr:cNvGrpSpPr>
      </xdr:nvGrpSpPr>
      <xdr:grpSpPr bwMode="auto">
        <a:xfrm rot="80297" flipH="1">
          <a:off x="824931" y="25135114"/>
          <a:ext cx="333375" cy="0"/>
          <a:chOff x="98" y="425"/>
          <a:chExt cx="93" cy="103"/>
        </a:xfrm>
      </xdr:grpSpPr>
      <xdr:sp macro="" textlink="">
        <xdr:nvSpPr>
          <xdr:cNvPr id="1330" name="Freeform 486">
            <a:extLst>
              <a:ext uri="{FF2B5EF4-FFF2-40B4-BE49-F238E27FC236}">
                <a16:creationId xmlns:a16="http://schemas.microsoft.com/office/drawing/2014/main" id="{00000000-0008-0000-0000-00003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31" name="Freeform 487">
            <a:extLst>
              <a:ext uri="{FF2B5EF4-FFF2-40B4-BE49-F238E27FC236}">
                <a16:creationId xmlns:a16="http://schemas.microsoft.com/office/drawing/2014/main" id="{00000000-0008-0000-0000-00003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32" name="Freeform 488">
            <a:extLst>
              <a:ext uri="{FF2B5EF4-FFF2-40B4-BE49-F238E27FC236}">
                <a16:creationId xmlns:a16="http://schemas.microsoft.com/office/drawing/2014/main" id="{00000000-0008-0000-0000-00003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33" name="Group 485">
          <a:extLst>
            <a:ext uri="{FF2B5EF4-FFF2-40B4-BE49-F238E27FC236}">
              <a16:creationId xmlns:a16="http://schemas.microsoft.com/office/drawing/2014/main" id="{00000000-0008-0000-0000-000035050000}"/>
            </a:ext>
          </a:extLst>
        </xdr:cNvPr>
        <xdr:cNvGrpSpPr>
          <a:grpSpLocks/>
        </xdr:cNvGrpSpPr>
      </xdr:nvGrpSpPr>
      <xdr:grpSpPr bwMode="auto">
        <a:xfrm rot="80297" flipH="1">
          <a:off x="824931" y="25135114"/>
          <a:ext cx="333375" cy="310596"/>
          <a:chOff x="98" y="425"/>
          <a:chExt cx="93" cy="103"/>
        </a:xfrm>
      </xdr:grpSpPr>
      <xdr:sp macro="" textlink="">
        <xdr:nvSpPr>
          <xdr:cNvPr id="1334" name="Freeform 486">
            <a:extLst>
              <a:ext uri="{FF2B5EF4-FFF2-40B4-BE49-F238E27FC236}">
                <a16:creationId xmlns:a16="http://schemas.microsoft.com/office/drawing/2014/main" id="{00000000-0008-0000-0000-00003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35" name="Freeform 487">
            <a:extLst>
              <a:ext uri="{FF2B5EF4-FFF2-40B4-BE49-F238E27FC236}">
                <a16:creationId xmlns:a16="http://schemas.microsoft.com/office/drawing/2014/main" id="{00000000-0008-0000-0000-00003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36" name="Freeform 488">
            <a:extLst>
              <a:ext uri="{FF2B5EF4-FFF2-40B4-BE49-F238E27FC236}">
                <a16:creationId xmlns:a16="http://schemas.microsoft.com/office/drawing/2014/main" id="{00000000-0008-0000-0000-00003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37" name="Group 485">
          <a:extLst>
            <a:ext uri="{FF2B5EF4-FFF2-40B4-BE49-F238E27FC236}">
              <a16:creationId xmlns:a16="http://schemas.microsoft.com/office/drawing/2014/main" id="{00000000-0008-0000-0000-000039050000}"/>
            </a:ext>
          </a:extLst>
        </xdr:cNvPr>
        <xdr:cNvGrpSpPr>
          <a:grpSpLocks/>
        </xdr:cNvGrpSpPr>
      </xdr:nvGrpSpPr>
      <xdr:grpSpPr bwMode="auto">
        <a:xfrm rot="80297" flipH="1">
          <a:off x="824931" y="25135114"/>
          <a:ext cx="333375" cy="0"/>
          <a:chOff x="98" y="425"/>
          <a:chExt cx="93" cy="103"/>
        </a:xfrm>
      </xdr:grpSpPr>
      <xdr:sp macro="" textlink="">
        <xdr:nvSpPr>
          <xdr:cNvPr id="1338" name="Freeform 486">
            <a:extLst>
              <a:ext uri="{FF2B5EF4-FFF2-40B4-BE49-F238E27FC236}">
                <a16:creationId xmlns:a16="http://schemas.microsoft.com/office/drawing/2014/main" id="{00000000-0008-0000-0000-00003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39" name="Freeform 487">
            <a:extLst>
              <a:ext uri="{FF2B5EF4-FFF2-40B4-BE49-F238E27FC236}">
                <a16:creationId xmlns:a16="http://schemas.microsoft.com/office/drawing/2014/main" id="{00000000-0008-0000-0000-00003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40" name="Freeform 488">
            <a:extLst>
              <a:ext uri="{FF2B5EF4-FFF2-40B4-BE49-F238E27FC236}">
                <a16:creationId xmlns:a16="http://schemas.microsoft.com/office/drawing/2014/main" id="{00000000-0008-0000-0000-00003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41" name="Group 485">
          <a:extLst>
            <a:ext uri="{FF2B5EF4-FFF2-40B4-BE49-F238E27FC236}">
              <a16:creationId xmlns:a16="http://schemas.microsoft.com/office/drawing/2014/main" id="{00000000-0008-0000-0000-00003D050000}"/>
            </a:ext>
          </a:extLst>
        </xdr:cNvPr>
        <xdr:cNvGrpSpPr>
          <a:grpSpLocks/>
        </xdr:cNvGrpSpPr>
      </xdr:nvGrpSpPr>
      <xdr:grpSpPr bwMode="auto">
        <a:xfrm rot="80297" flipH="1">
          <a:off x="824931" y="25135114"/>
          <a:ext cx="333375" cy="310596"/>
          <a:chOff x="98" y="425"/>
          <a:chExt cx="93" cy="103"/>
        </a:xfrm>
      </xdr:grpSpPr>
      <xdr:sp macro="" textlink="">
        <xdr:nvSpPr>
          <xdr:cNvPr id="1342" name="Freeform 486">
            <a:extLst>
              <a:ext uri="{FF2B5EF4-FFF2-40B4-BE49-F238E27FC236}">
                <a16:creationId xmlns:a16="http://schemas.microsoft.com/office/drawing/2014/main" id="{00000000-0008-0000-0000-00003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43" name="Freeform 487">
            <a:extLst>
              <a:ext uri="{FF2B5EF4-FFF2-40B4-BE49-F238E27FC236}">
                <a16:creationId xmlns:a16="http://schemas.microsoft.com/office/drawing/2014/main" id="{00000000-0008-0000-0000-00003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44" name="Freeform 488">
            <a:extLst>
              <a:ext uri="{FF2B5EF4-FFF2-40B4-BE49-F238E27FC236}">
                <a16:creationId xmlns:a16="http://schemas.microsoft.com/office/drawing/2014/main" id="{00000000-0008-0000-0000-00004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45" name="Group 485">
          <a:extLst>
            <a:ext uri="{FF2B5EF4-FFF2-40B4-BE49-F238E27FC236}">
              <a16:creationId xmlns:a16="http://schemas.microsoft.com/office/drawing/2014/main" id="{00000000-0008-0000-0000-000041050000}"/>
            </a:ext>
          </a:extLst>
        </xdr:cNvPr>
        <xdr:cNvGrpSpPr>
          <a:grpSpLocks/>
        </xdr:cNvGrpSpPr>
      </xdr:nvGrpSpPr>
      <xdr:grpSpPr bwMode="auto">
        <a:xfrm rot="80297" flipH="1">
          <a:off x="824931" y="25135114"/>
          <a:ext cx="333375" cy="0"/>
          <a:chOff x="98" y="425"/>
          <a:chExt cx="93" cy="103"/>
        </a:xfrm>
      </xdr:grpSpPr>
      <xdr:sp macro="" textlink="">
        <xdr:nvSpPr>
          <xdr:cNvPr id="1346" name="Freeform 486">
            <a:extLst>
              <a:ext uri="{FF2B5EF4-FFF2-40B4-BE49-F238E27FC236}">
                <a16:creationId xmlns:a16="http://schemas.microsoft.com/office/drawing/2014/main" id="{00000000-0008-0000-0000-00004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47" name="Freeform 487">
            <a:extLst>
              <a:ext uri="{FF2B5EF4-FFF2-40B4-BE49-F238E27FC236}">
                <a16:creationId xmlns:a16="http://schemas.microsoft.com/office/drawing/2014/main" id="{00000000-0008-0000-0000-00004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48" name="Freeform 488">
            <a:extLst>
              <a:ext uri="{FF2B5EF4-FFF2-40B4-BE49-F238E27FC236}">
                <a16:creationId xmlns:a16="http://schemas.microsoft.com/office/drawing/2014/main" id="{00000000-0008-0000-0000-00004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49" name="Group 485">
          <a:extLst>
            <a:ext uri="{FF2B5EF4-FFF2-40B4-BE49-F238E27FC236}">
              <a16:creationId xmlns:a16="http://schemas.microsoft.com/office/drawing/2014/main" id="{00000000-0008-0000-0000-000045050000}"/>
            </a:ext>
          </a:extLst>
        </xdr:cNvPr>
        <xdr:cNvGrpSpPr>
          <a:grpSpLocks/>
        </xdr:cNvGrpSpPr>
      </xdr:nvGrpSpPr>
      <xdr:grpSpPr bwMode="auto">
        <a:xfrm rot="80297" flipH="1">
          <a:off x="824931" y="25135114"/>
          <a:ext cx="333375" cy="310596"/>
          <a:chOff x="98" y="425"/>
          <a:chExt cx="93" cy="103"/>
        </a:xfrm>
      </xdr:grpSpPr>
      <xdr:sp macro="" textlink="">
        <xdr:nvSpPr>
          <xdr:cNvPr id="1350" name="Freeform 486">
            <a:extLst>
              <a:ext uri="{FF2B5EF4-FFF2-40B4-BE49-F238E27FC236}">
                <a16:creationId xmlns:a16="http://schemas.microsoft.com/office/drawing/2014/main" id="{00000000-0008-0000-0000-00004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51" name="Freeform 487">
            <a:extLst>
              <a:ext uri="{FF2B5EF4-FFF2-40B4-BE49-F238E27FC236}">
                <a16:creationId xmlns:a16="http://schemas.microsoft.com/office/drawing/2014/main" id="{00000000-0008-0000-0000-00004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52" name="Freeform 488">
            <a:extLst>
              <a:ext uri="{FF2B5EF4-FFF2-40B4-BE49-F238E27FC236}">
                <a16:creationId xmlns:a16="http://schemas.microsoft.com/office/drawing/2014/main" id="{00000000-0008-0000-0000-00004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53" name="Group 485">
          <a:extLst>
            <a:ext uri="{FF2B5EF4-FFF2-40B4-BE49-F238E27FC236}">
              <a16:creationId xmlns:a16="http://schemas.microsoft.com/office/drawing/2014/main" id="{00000000-0008-0000-0000-000049050000}"/>
            </a:ext>
          </a:extLst>
        </xdr:cNvPr>
        <xdr:cNvGrpSpPr>
          <a:grpSpLocks/>
        </xdr:cNvGrpSpPr>
      </xdr:nvGrpSpPr>
      <xdr:grpSpPr bwMode="auto">
        <a:xfrm rot="80297" flipH="1">
          <a:off x="824931" y="25135114"/>
          <a:ext cx="333375" cy="0"/>
          <a:chOff x="98" y="425"/>
          <a:chExt cx="93" cy="103"/>
        </a:xfrm>
      </xdr:grpSpPr>
      <xdr:sp macro="" textlink="">
        <xdr:nvSpPr>
          <xdr:cNvPr id="1354" name="Freeform 486">
            <a:extLst>
              <a:ext uri="{FF2B5EF4-FFF2-40B4-BE49-F238E27FC236}">
                <a16:creationId xmlns:a16="http://schemas.microsoft.com/office/drawing/2014/main" id="{00000000-0008-0000-0000-00004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55" name="Freeform 487">
            <a:extLst>
              <a:ext uri="{FF2B5EF4-FFF2-40B4-BE49-F238E27FC236}">
                <a16:creationId xmlns:a16="http://schemas.microsoft.com/office/drawing/2014/main" id="{00000000-0008-0000-0000-00004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56" name="Freeform 488">
            <a:extLst>
              <a:ext uri="{FF2B5EF4-FFF2-40B4-BE49-F238E27FC236}">
                <a16:creationId xmlns:a16="http://schemas.microsoft.com/office/drawing/2014/main" id="{00000000-0008-0000-0000-00004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57" name="Group 485">
          <a:extLst>
            <a:ext uri="{FF2B5EF4-FFF2-40B4-BE49-F238E27FC236}">
              <a16:creationId xmlns:a16="http://schemas.microsoft.com/office/drawing/2014/main" id="{00000000-0008-0000-0000-00004D050000}"/>
            </a:ext>
          </a:extLst>
        </xdr:cNvPr>
        <xdr:cNvGrpSpPr>
          <a:grpSpLocks/>
        </xdr:cNvGrpSpPr>
      </xdr:nvGrpSpPr>
      <xdr:grpSpPr bwMode="auto">
        <a:xfrm rot="80297" flipH="1">
          <a:off x="824931" y="25135114"/>
          <a:ext cx="333375" cy="310596"/>
          <a:chOff x="98" y="425"/>
          <a:chExt cx="93" cy="103"/>
        </a:xfrm>
      </xdr:grpSpPr>
      <xdr:sp macro="" textlink="">
        <xdr:nvSpPr>
          <xdr:cNvPr id="1358" name="Freeform 486">
            <a:extLst>
              <a:ext uri="{FF2B5EF4-FFF2-40B4-BE49-F238E27FC236}">
                <a16:creationId xmlns:a16="http://schemas.microsoft.com/office/drawing/2014/main" id="{00000000-0008-0000-0000-00004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59" name="Freeform 487">
            <a:extLst>
              <a:ext uri="{FF2B5EF4-FFF2-40B4-BE49-F238E27FC236}">
                <a16:creationId xmlns:a16="http://schemas.microsoft.com/office/drawing/2014/main" id="{00000000-0008-0000-0000-00004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60" name="Freeform 488">
            <a:extLst>
              <a:ext uri="{FF2B5EF4-FFF2-40B4-BE49-F238E27FC236}">
                <a16:creationId xmlns:a16="http://schemas.microsoft.com/office/drawing/2014/main" id="{00000000-0008-0000-0000-00005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61" name="Group 485">
          <a:extLst>
            <a:ext uri="{FF2B5EF4-FFF2-40B4-BE49-F238E27FC236}">
              <a16:creationId xmlns:a16="http://schemas.microsoft.com/office/drawing/2014/main" id="{00000000-0008-0000-0000-000051050000}"/>
            </a:ext>
          </a:extLst>
        </xdr:cNvPr>
        <xdr:cNvGrpSpPr>
          <a:grpSpLocks/>
        </xdr:cNvGrpSpPr>
      </xdr:nvGrpSpPr>
      <xdr:grpSpPr bwMode="auto">
        <a:xfrm rot="80297" flipH="1">
          <a:off x="824931" y="25135114"/>
          <a:ext cx="333375" cy="0"/>
          <a:chOff x="98" y="425"/>
          <a:chExt cx="93" cy="103"/>
        </a:xfrm>
      </xdr:grpSpPr>
      <xdr:sp macro="" textlink="">
        <xdr:nvSpPr>
          <xdr:cNvPr id="1362" name="Freeform 486">
            <a:extLst>
              <a:ext uri="{FF2B5EF4-FFF2-40B4-BE49-F238E27FC236}">
                <a16:creationId xmlns:a16="http://schemas.microsoft.com/office/drawing/2014/main" id="{00000000-0008-0000-0000-00005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63" name="Freeform 487">
            <a:extLst>
              <a:ext uri="{FF2B5EF4-FFF2-40B4-BE49-F238E27FC236}">
                <a16:creationId xmlns:a16="http://schemas.microsoft.com/office/drawing/2014/main" id="{00000000-0008-0000-0000-00005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64" name="Freeform 488">
            <a:extLst>
              <a:ext uri="{FF2B5EF4-FFF2-40B4-BE49-F238E27FC236}">
                <a16:creationId xmlns:a16="http://schemas.microsoft.com/office/drawing/2014/main" id="{00000000-0008-0000-0000-00005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65" name="Group 485">
          <a:extLst>
            <a:ext uri="{FF2B5EF4-FFF2-40B4-BE49-F238E27FC236}">
              <a16:creationId xmlns:a16="http://schemas.microsoft.com/office/drawing/2014/main" id="{00000000-0008-0000-0000-000055050000}"/>
            </a:ext>
          </a:extLst>
        </xdr:cNvPr>
        <xdr:cNvGrpSpPr>
          <a:grpSpLocks/>
        </xdr:cNvGrpSpPr>
      </xdr:nvGrpSpPr>
      <xdr:grpSpPr bwMode="auto">
        <a:xfrm rot="80297" flipH="1">
          <a:off x="824931" y="25135114"/>
          <a:ext cx="333375" cy="310596"/>
          <a:chOff x="98" y="425"/>
          <a:chExt cx="93" cy="103"/>
        </a:xfrm>
      </xdr:grpSpPr>
      <xdr:sp macro="" textlink="">
        <xdr:nvSpPr>
          <xdr:cNvPr id="1366" name="Freeform 486">
            <a:extLst>
              <a:ext uri="{FF2B5EF4-FFF2-40B4-BE49-F238E27FC236}">
                <a16:creationId xmlns:a16="http://schemas.microsoft.com/office/drawing/2014/main" id="{00000000-0008-0000-0000-00005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67" name="Freeform 487">
            <a:extLst>
              <a:ext uri="{FF2B5EF4-FFF2-40B4-BE49-F238E27FC236}">
                <a16:creationId xmlns:a16="http://schemas.microsoft.com/office/drawing/2014/main" id="{00000000-0008-0000-0000-00005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68" name="Freeform 488">
            <a:extLst>
              <a:ext uri="{FF2B5EF4-FFF2-40B4-BE49-F238E27FC236}">
                <a16:creationId xmlns:a16="http://schemas.microsoft.com/office/drawing/2014/main" id="{00000000-0008-0000-0000-00005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69" name="Group 485">
          <a:extLst>
            <a:ext uri="{FF2B5EF4-FFF2-40B4-BE49-F238E27FC236}">
              <a16:creationId xmlns:a16="http://schemas.microsoft.com/office/drawing/2014/main" id="{00000000-0008-0000-0000-000059050000}"/>
            </a:ext>
          </a:extLst>
        </xdr:cNvPr>
        <xdr:cNvGrpSpPr>
          <a:grpSpLocks/>
        </xdr:cNvGrpSpPr>
      </xdr:nvGrpSpPr>
      <xdr:grpSpPr bwMode="auto">
        <a:xfrm rot="80297" flipH="1">
          <a:off x="824931" y="25135114"/>
          <a:ext cx="333375" cy="0"/>
          <a:chOff x="98" y="425"/>
          <a:chExt cx="93" cy="103"/>
        </a:xfrm>
      </xdr:grpSpPr>
      <xdr:sp macro="" textlink="">
        <xdr:nvSpPr>
          <xdr:cNvPr id="1370" name="Freeform 486">
            <a:extLst>
              <a:ext uri="{FF2B5EF4-FFF2-40B4-BE49-F238E27FC236}">
                <a16:creationId xmlns:a16="http://schemas.microsoft.com/office/drawing/2014/main" id="{00000000-0008-0000-0000-00005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71" name="Freeform 487">
            <a:extLst>
              <a:ext uri="{FF2B5EF4-FFF2-40B4-BE49-F238E27FC236}">
                <a16:creationId xmlns:a16="http://schemas.microsoft.com/office/drawing/2014/main" id="{00000000-0008-0000-0000-00005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72" name="Freeform 488">
            <a:extLst>
              <a:ext uri="{FF2B5EF4-FFF2-40B4-BE49-F238E27FC236}">
                <a16:creationId xmlns:a16="http://schemas.microsoft.com/office/drawing/2014/main" id="{00000000-0008-0000-0000-00005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73" name="Group 485">
          <a:extLst>
            <a:ext uri="{FF2B5EF4-FFF2-40B4-BE49-F238E27FC236}">
              <a16:creationId xmlns:a16="http://schemas.microsoft.com/office/drawing/2014/main" id="{00000000-0008-0000-0000-00005D050000}"/>
            </a:ext>
          </a:extLst>
        </xdr:cNvPr>
        <xdr:cNvGrpSpPr>
          <a:grpSpLocks/>
        </xdr:cNvGrpSpPr>
      </xdr:nvGrpSpPr>
      <xdr:grpSpPr bwMode="auto">
        <a:xfrm rot="80297" flipH="1">
          <a:off x="824931" y="25135114"/>
          <a:ext cx="333375" cy="310596"/>
          <a:chOff x="98" y="425"/>
          <a:chExt cx="93" cy="103"/>
        </a:xfrm>
      </xdr:grpSpPr>
      <xdr:sp macro="" textlink="">
        <xdr:nvSpPr>
          <xdr:cNvPr id="1374" name="Freeform 486">
            <a:extLst>
              <a:ext uri="{FF2B5EF4-FFF2-40B4-BE49-F238E27FC236}">
                <a16:creationId xmlns:a16="http://schemas.microsoft.com/office/drawing/2014/main" id="{00000000-0008-0000-0000-00005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75" name="Freeform 487">
            <a:extLst>
              <a:ext uri="{FF2B5EF4-FFF2-40B4-BE49-F238E27FC236}">
                <a16:creationId xmlns:a16="http://schemas.microsoft.com/office/drawing/2014/main" id="{00000000-0008-0000-0000-00005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76" name="Freeform 488">
            <a:extLst>
              <a:ext uri="{FF2B5EF4-FFF2-40B4-BE49-F238E27FC236}">
                <a16:creationId xmlns:a16="http://schemas.microsoft.com/office/drawing/2014/main" id="{00000000-0008-0000-0000-00006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77" name="Group 485">
          <a:extLst>
            <a:ext uri="{FF2B5EF4-FFF2-40B4-BE49-F238E27FC236}">
              <a16:creationId xmlns:a16="http://schemas.microsoft.com/office/drawing/2014/main" id="{00000000-0008-0000-0000-000061050000}"/>
            </a:ext>
          </a:extLst>
        </xdr:cNvPr>
        <xdr:cNvGrpSpPr>
          <a:grpSpLocks/>
        </xdr:cNvGrpSpPr>
      </xdr:nvGrpSpPr>
      <xdr:grpSpPr bwMode="auto">
        <a:xfrm rot="80297" flipH="1">
          <a:off x="824931" y="25135114"/>
          <a:ext cx="333375" cy="0"/>
          <a:chOff x="98" y="425"/>
          <a:chExt cx="93" cy="103"/>
        </a:xfrm>
      </xdr:grpSpPr>
      <xdr:sp macro="" textlink="">
        <xdr:nvSpPr>
          <xdr:cNvPr id="1378" name="Freeform 486">
            <a:extLst>
              <a:ext uri="{FF2B5EF4-FFF2-40B4-BE49-F238E27FC236}">
                <a16:creationId xmlns:a16="http://schemas.microsoft.com/office/drawing/2014/main" id="{00000000-0008-0000-0000-00006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79" name="Freeform 487">
            <a:extLst>
              <a:ext uri="{FF2B5EF4-FFF2-40B4-BE49-F238E27FC236}">
                <a16:creationId xmlns:a16="http://schemas.microsoft.com/office/drawing/2014/main" id="{00000000-0008-0000-0000-00006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80" name="Freeform 488">
            <a:extLst>
              <a:ext uri="{FF2B5EF4-FFF2-40B4-BE49-F238E27FC236}">
                <a16:creationId xmlns:a16="http://schemas.microsoft.com/office/drawing/2014/main" id="{00000000-0008-0000-0000-00006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81" name="Group 485">
          <a:extLst>
            <a:ext uri="{FF2B5EF4-FFF2-40B4-BE49-F238E27FC236}">
              <a16:creationId xmlns:a16="http://schemas.microsoft.com/office/drawing/2014/main" id="{00000000-0008-0000-0000-000065050000}"/>
            </a:ext>
          </a:extLst>
        </xdr:cNvPr>
        <xdr:cNvGrpSpPr>
          <a:grpSpLocks/>
        </xdr:cNvGrpSpPr>
      </xdr:nvGrpSpPr>
      <xdr:grpSpPr bwMode="auto">
        <a:xfrm rot="80297" flipH="1">
          <a:off x="824931" y="25135114"/>
          <a:ext cx="333375" cy="310596"/>
          <a:chOff x="98" y="425"/>
          <a:chExt cx="93" cy="103"/>
        </a:xfrm>
      </xdr:grpSpPr>
      <xdr:sp macro="" textlink="">
        <xdr:nvSpPr>
          <xdr:cNvPr id="1382" name="Freeform 486">
            <a:extLst>
              <a:ext uri="{FF2B5EF4-FFF2-40B4-BE49-F238E27FC236}">
                <a16:creationId xmlns:a16="http://schemas.microsoft.com/office/drawing/2014/main" id="{00000000-0008-0000-0000-00006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83" name="Freeform 487">
            <a:extLst>
              <a:ext uri="{FF2B5EF4-FFF2-40B4-BE49-F238E27FC236}">
                <a16:creationId xmlns:a16="http://schemas.microsoft.com/office/drawing/2014/main" id="{00000000-0008-0000-0000-00006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84" name="Freeform 488">
            <a:extLst>
              <a:ext uri="{FF2B5EF4-FFF2-40B4-BE49-F238E27FC236}">
                <a16:creationId xmlns:a16="http://schemas.microsoft.com/office/drawing/2014/main" id="{00000000-0008-0000-0000-00006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85" name="Group 485">
          <a:extLst>
            <a:ext uri="{FF2B5EF4-FFF2-40B4-BE49-F238E27FC236}">
              <a16:creationId xmlns:a16="http://schemas.microsoft.com/office/drawing/2014/main" id="{00000000-0008-0000-0000-000069050000}"/>
            </a:ext>
          </a:extLst>
        </xdr:cNvPr>
        <xdr:cNvGrpSpPr>
          <a:grpSpLocks/>
        </xdr:cNvGrpSpPr>
      </xdr:nvGrpSpPr>
      <xdr:grpSpPr bwMode="auto">
        <a:xfrm rot="80297" flipH="1">
          <a:off x="824931" y="25135114"/>
          <a:ext cx="333375" cy="0"/>
          <a:chOff x="98" y="425"/>
          <a:chExt cx="93" cy="103"/>
        </a:xfrm>
      </xdr:grpSpPr>
      <xdr:sp macro="" textlink="">
        <xdr:nvSpPr>
          <xdr:cNvPr id="1386" name="Freeform 486">
            <a:extLst>
              <a:ext uri="{FF2B5EF4-FFF2-40B4-BE49-F238E27FC236}">
                <a16:creationId xmlns:a16="http://schemas.microsoft.com/office/drawing/2014/main" id="{00000000-0008-0000-0000-00006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87" name="Freeform 487">
            <a:extLst>
              <a:ext uri="{FF2B5EF4-FFF2-40B4-BE49-F238E27FC236}">
                <a16:creationId xmlns:a16="http://schemas.microsoft.com/office/drawing/2014/main" id="{00000000-0008-0000-0000-00006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88" name="Freeform 488">
            <a:extLst>
              <a:ext uri="{FF2B5EF4-FFF2-40B4-BE49-F238E27FC236}">
                <a16:creationId xmlns:a16="http://schemas.microsoft.com/office/drawing/2014/main" id="{00000000-0008-0000-0000-00006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89" name="Group 485">
          <a:extLst>
            <a:ext uri="{FF2B5EF4-FFF2-40B4-BE49-F238E27FC236}">
              <a16:creationId xmlns:a16="http://schemas.microsoft.com/office/drawing/2014/main" id="{00000000-0008-0000-0000-00006D050000}"/>
            </a:ext>
          </a:extLst>
        </xdr:cNvPr>
        <xdr:cNvGrpSpPr>
          <a:grpSpLocks/>
        </xdr:cNvGrpSpPr>
      </xdr:nvGrpSpPr>
      <xdr:grpSpPr bwMode="auto">
        <a:xfrm rot="80297" flipH="1">
          <a:off x="824931" y="25135114"/>
          <a:ext cx="333375" cy="310596"/>
          <a:chOff x="98" y="425"/>
          <a:chExt cx="93" cy="103"/>
        </a:xfrm>
      </xdr:grpSpPr>
      <xdr:sp macro="" textlink="">
        <xdr:nvSpPr>
          <xdr:cNvPr id="1390" name="Freeform 486">
            <a:extLst>
              <a:ext uri="{FF2B5EF4-FFF2-40B4-BE49-F238E27FC236}">
                <a16:creationId xmlns:a16="http://schemas.microsoft.com/office/drawing/2014/main" id="{00000000-0008-0000-0000-00006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91" name="Freeform 487">
            <a:extLst>
              <a:ext uri="{FF2B5EF4-FFF2-40B4-BE49-F238E27FC236}">
                <a16:creationId xmlns:a16="http://schemas.microsoft.com/office/drawing/2014/main" id="{00000000-0008-0000-0000-00006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92" name="Freeform 488">
            <a:extLst>
              <a:ext uri="{FF2B5EF4-FFF2-40B4-BE49-F238E27FC236}">
                <a16:creationId xmlns:a16="http://schemas.microsoft.com/office/drawing/2014/main" id="{00000000-0008-0000-0000-00007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393" name="Group 485">
          <a:extLst>
            <a:ext uri="{FF2B5EF4-FFF2-40B4-BE49-F238E27FC236}">
              <a16:creationId xmlns:a16="http://schemas.microsoft.com/office/drawing/2014/main" id="{00000000-0008-0000-0000-000071050000}"/>
            </a:ext>
          </a:extLst>
        </xdr:cNvPr>
        <xdr:cNvGrpSpPr>
          <a:grpSpLocks/>
        </xdr:cNvGrpSpPr>
      </xdr:nvGrpSpPr>
      <xdr:grpSpPr bwMode="auto">
        <a:xfrm rot="80297" flipH="1">
          <a:off x="824931" y="25135114"/>
          <a:ext cx="333375" cy="0"/>
          <a:chOff x="98" y="425"/>
          <a:chExt cx="93" cy="103"/>
        </a:xfrm>
      </xdr:grpSpPr>
      <xdr:sp macro="" textlink="">
        <xdr:nvSpPr>
          <xdr:cNvPr id="1394" name="Freeform 486">
            <a:extLst>
              <a:ext uri="{FF2B5EF4-FFF2-40B4-BE49-F238E27FC236}">
                <a16:creationId xmlns:a16="http://schemas.microsoft.com/office/drawing/2014/main" id="{00000000-0008-0000-0000-00007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95" name="Freeform 487">
            <a:extLst>
              <a:ext uri="{FF2B5EF4-FFF2-40B4-BE49-F238E27FC236}">
                <a16:creationId xmlns:a16="http://schemas.microsoft.com/office/drawing/2014/main" id="{00000000-0008-0000-0000-00007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96" name="Freeform 488">
            <a:extLst>
              <a:ext uri="{FF2B5EF4-FFF2-40B4-BE49-F238E27FC236}">
                <a16:creationId xmlns:a16="http://schemas.microsoft.com/office/drawing/2014/main" id="{00000000-0008-0000-0000-00007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397" name="Group 485">
          <a:extLst>
            <a:ext uri="{FF2B5EF4-FFF2-40B4-BE49-F238E27FC236}">
              <a16:creationId xmlns:a16="http://schemas.microsoft.com/office/drawing/2014/main" id="{00000000-0008-0000-0000-000075050000}"/>
            </a:ext>
          </a:extLst>
        </xdr:cNvPr>
        <xdr:cNvGrpSpPr>
          <a:grpSpLocks/>
        </xdr:cNvGrpSpPr>
      </xdr:nvGrpSpPr>
      <xdr:grpSpPr bwMode="auto">
        <a:xfrm rot="80297" flipH="1">
          <a:off x="824931" y="25135114"/>
          <a:ext cx="333375" cy="310596"/>
          <a:chOff x="98" y="425"/>
          <a:chExt cx="93" cy="103"/>
        </a:xfrm>
      </xdr:grpSpPr>
      <xdr:sp macro="" textlink="">
        <xdr:nvSpPr>
          <xdr:cNvPr id="1398" name="Freeform 486">
            <a:extLst>
              <a:ext uri="{FF2B5EF4-FFF2-40B4-BE49-F238E27FC236}">
                <a16:creationId xmlns:a16="http://schemas.microsoft.com/office/drawing/2014/main" id="{00000000-0008-0000-0000-00007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399" name="Freeform 487">
            <a:extLst>
              <a:ext uri="{FF2B5EF4-FFF2-40B4-BE49-F238E27FC236}">
                <a16:creationId xmlns:a16="http://schemas.microsoft.com/office/drawing/2014/main" id="{00000000-0008-0000-0000-00007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00" name="Freeform 488">
            <a:extLst>
              <a:ext uri="{FF2B5EF4-FFF2-40B4-BE49-F238E27FC236}">
                <a16:creationId xmlns:a16="http://schemas.microsoft.com/office/drawing/2014/main" id="{00000000-0008-0000-0000-00007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401" name="Group 485">
          <a:extLst>
            <a:ext uri="{FF2B5EF4-FFF2-40B4-BE49-F238E27FC236}">
              <a16:creationId xmlns:a16="http://schemas.microsoft.com/office/drawing/2014/main" id="{00000000-0008-0000-0000-000079050000}"/>
            </a:ext>
          </a:extLst>
        </xdr:cNvPr>
        <xdr:cNvGrpSpPr>
          <a:grpSpLocks/>
        </xdr:cNvGrpSpPr>
      </xdr:nvGrpSpPr>
      <xdr:grpSpPr bwMode="auto">
        <a:xfrm rot="80297" flipH="1">
          <a:off x="824931" y="25135114"/>
          <a:ext cx="333375" cy="0"/>
          <a:chOff x="98" y="425"/>
          <a:chExt cx="93" cy="103"/>
        </a:xfrm>
      </xdr:grpSpPr>
      <xdr:sp macro="" textlink="">
        <xdr:nvSpPr>
          <xdr:cNvPr id="1402" name="Freeform 486">
            <a:extLst>
              <a:ext uri="{FF2B5EF4-FFF2-40B4-BE49-F238E27FC236}">
                <a16:creationId xmlns:a16="http://schemas.microsoft.com/office/drawing/2014/main" id="{00000000-0008-0000-0000-00007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03" name="Freeform 487">
            <a:extLst>
              <a:ext uri="{FF2B5EF4-FFF2-40B4-BE49-F238E27FC236}">
                <a16:creationId xmlns:a16="http://schemas.microsoft.com/office/drawing/2014/main" id="{00000000-0008-0000-0000-00007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04" name="Freeform 488">
            <a:extLst>
              <a:ext uri="{FF2B5EF4-FFF2-40B4-BE49-F238E27FC236}">
                <a16:creationId xmlns:a16="http://schemas.microsoft.com/office/drawing/2014/main" id="{00000000-0008-0000-0000-00007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405" name="Group 485">
          <a:extLst>
            <a:ext uri="{FF2B5EF4-FFF2-40B4-BE49-F238E27FC236}">
              <a16:creationId xmlns:a16="http://schemas.microsoft.com/office/drawing/2014/main" id="{00000000-0008-0000-0000-00007D050000}"/>
            </a:ext>
          </a:extLst>
        </xdr:cNvPr>
        <xdr:cNvGrpSpPr>
          <a:grpSpLocks/>
        </xdr:cNvGrpSpPr>
      </xdr:nvGrpSpPr>
      <xdr:grpSpPr bwMode="auto">
        <a:xfrm rot="80297" flipH="1">
          <a:off x="824931" y="25135114"/>
          <a:ext cx="333375" cy="310596"/>
          <a:chOff x="98" y="425"/>
          <a:chExt cx="93" cy="103"/>
        </a:xfrm>
      </xdr:grpSpPr>
      <xdr:sp macro="" textlink="">
        <xdr:nvSpPr>
          <xdr:cNvPr id="1406" name="Freeform 486">
            <a:extLst>
              <a:ext uri="{FF2B5EF4-FFF2-40B4-BE49-F238E27FC236}">
                <a16:creationId xmlns:a16="http://schemas.microsoft.com/office/drawing/2014/main" id="{00000000-0008-0000-0000-00007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07" name="Freeform 487">
            <a:extLst>
              <a:ext uri="{FF2B5EF4-FFF2-40B4-BE49-F238E27FC236}">
                <a16:creationId xmlns:a16="http://schemas.microsoft.com/office/drawing/2014/main" id="{00000000-0008-0000-0000-00007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08" name="Freeform 488">
            <a:extLst>
              <a:ext uri="{FF2B5EF4-FFF2-40B4-BE49-F238E27FC236}">
                <a16:creationId xmlns:a16="http://schemas.microsoft.com/office/drawing/2014/main" id="{00000000-0008-0000-0000-00008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409" name="Group 485">
          <a:extLst>
            <a:ext uri="{FF2B5EF4-FFF2-40B4-BE49-F238E27FC236}">
              <a16:creationId xmlns:a16="http://schemas.microsoft.com/office/drawing/2014/main" id="{00000000-0008-0000-0000-000081050000}"/>
            </a:ext>
          </a:extLst>
        </xdr:cNvPr>
        <xdr:cNvGrpSpPr>
          <a:grpSpLocks/>
        </xdr:cNvGrpSpPr>
      </xdr:nvGrpSpPr>
      <xdr:grpSpPr bwMode="auto">
        <a:xfrm rot="80297" flipH="1">
          <a:off x="824931" y="25135114"/>
          <a:ext cx="333375" cy="0"/>
          <a:chOff x="98" y="425"/>
          <a:chExt cx="93" cy="103"/>
        </a:xfrm>
      </xdr:grpSpPr>
      <xdr:sp macro="" textlink="">
        <xdr:nvSpPr>
          <xdr:cNvPr id="1410" name="Freeform 486">
            <a:extLst>
              <a:ext uri="{FF2B5EF4-FFF2-40B4-BE49-F238E27FC236}">
                <a16:creationId xmlns:a16="http://schemas.microsoft.com/office/drawing/2014/main" id="{00000000-0008-0000-0000-00008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11" name="Freeform 487">
            <a:extLst>
              <a:ext uri="{FF2B5EF4-FFF2-40B4-BE49-F238E27FC236}">
                <a16:creationId xmlns:a16="http://schemas.microsoft.com/office/drawing/2014/main" id="{00000000-0008-0000-0000-00008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12" name="Freeform 488">
            <a:extLst>
              <a:ext uri="{FF2B5EF4-FFF2-40B4-BE49-F238E27FC236}">
                <a16:creationId xmlns:a16="http://schemas.microsoft.com/office/drawing/2014/main" id="{00000000-0008-0000-0000-00008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413" name="Group 485">
          <a:extLst>
            <a:ext uri="{FF2B5EF4-FFF2-40B4-BE49-F238E27FC236}">
              <a16:creationId xmlns:a16="http://schemas.microsoft.com/office/drawing/2014/main" id="{00000000-0008-0000-0000-000085050000}"/>
            </a:ext>
          </a:extLst>
        </xdr:cNvPr>
        <xdr:cNvGrpSpPr>
          <a:grpSpLocks/>
        </xdr:cNvGrpSpPr>
      </xdr:nvGrpSpPr>
      <xdr:grpSpPr bwMode="auto">
        <a:xfrm rot="80297" flipH="1">
          <a:off x="824931" y="25135114"/>
          <a:ext cx="333375" cy="310596"/>
          <a:chOff x="98" y="425"/>
          <a:chExt cx="93" cy="103"/>
        </a:xfrm>
      </xdr:grpSpPr>
      <xdr:sp macro="" textlink="">
        <xdr:nvSpPr>
          <xdr:cNvPr id="1414" name="Freeform 486">
            <a:extLst>
              <a:ext uri="{FF2B5EF4-FFF2-40B4-BE49-F238E27FC236}">
                <a16:creationId xmlns:a16="http://schemas.microsoft.com/office/drawing/2014/main" id="{00000000-0008-0000-0000-00008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15" name="Freeform 487">
            <a:extLst>
              <a:ext uri="{FF2B5EF4-FFF2-40B4-BE49-F238E27FC236}">
                <a16:creationId xmlns:a16="http://schemas.microsoft.com/office/drawing/2014/main" id="{00000000-0008-0000-0000-00008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16" name="Freeform 488">
            <a:extLst>
              <a:ext uri="{FF2B5EF4-FFF2-40B4-BE49-F238E27FC236}">
                <a16:creationId xmlns:a16="http://schemas.microsoft.com/office/drawing/2014/main" id="{00000000-0008-0000-0000-00008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417" name="Group 485">
          <a:extLst>
            <a:ext uri="{FF2B5EF4-FFF2-40B4-BE49-F238E27FC236}">
              <a16:creationId xmlns:a16="http://schemas.microsoft.com/office/drawing/2014/main" id="{00000000-0008-0000-0000-000089050000}"/>
            </a:ext>
          </a:extLst>
        </xdr:cNvPr>
        <xdr:cNvGrpSpPr>
          <a:grpSpLocks/>
        </xdr:cNvGrpSpPr>
      </xdr:nvGrpSpPr>
      <xdr:grpSpPr bwMode="auto">
        <a:xfrm rot="80297" flipH="1">
          <a:off x="824931" y="25135114"/>
          <a:ext cx="333375" cy="0"/>
          <a:chOff x="98" y="425"/>
          <a:chExt cx="93" cy="103"/>
        </a:xfrm>
      </xdr:grpSpPr>
      <xdr:sp macro="" textlink="">
        <xdr:nvSpPr>
          <xdr:cNvPr id="1418" name="Freeform 486">
            <a:extLst>
              <a:ext uri="{FF2B5EF4-FFF2-40B4-BE49-F238E27FC236}">
                <a16:creationId xmlns:a16="http://schemas.microsoft.com/office/drawing/2014/main" id="{00000000-0008-0000-0000-00008A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19" name="Freeform 487">
            <a:extLst>
              <a:ext uri="{FF2B5EF4-FFF2-40B4-BE49-F238E27FC236}">
                <a16:creationId xmlns:a16="http://schemas.microsoft.com/office/drawing/2014/main" id="{00000000-0008-0000-0000-00008B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20" name="Freeform 488">
            <a:extLst>
              <a:ext uri="{FF2B5EF4-FFF2-40B4-BE49-F238E27FC236}">
                <a16:creationId xmlns:a16="http://schemas.microsoft.com/office/drawing/2014/main" id="{00000000-0008-0000-0000-00008C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421" name="Group 485">
          <a:extLst>
            <a:ext uri="{FF2B5EF4-FFF2-40B4-BE49-F238E27FC236}">
              <a16:creationId xmlns:a16="http://schemas.microsoft.com/office/drawing/2014/main" id="{00000000-0008-0000-0000-00008D050000}"/>
            </a:ext>
          </a:extLst>
        </xdr:cNvPr>
        <xdr:cNvGrpSpPr>
          <a:grpSpLocks/>
        </xdr:cNvGrpSpPr>
      </xdr:nvGrpSpPr>
      <xdr:grpSpPr bwMode="auto">
        <a:xfrm rot="80297" flipH="1">
          <a:off x="824931" y="25135114"/>
          <a:ext cx="333375" cy="310596"/>
          <a:chOff x="98" y="425"/>
          <a:chExt cx="93" cy="103"/>
        </a:xfrm>
      </xdr:grpSpPr>
      <xdr:sp macro="" textlink="">
        <xdr:nvSpPr>
          <xdr:cNvPr id="1422" name="Freeform 486">
            <a:extLst>
              <a:ext uri="{FF2B5EF4-FFF2-40B4-BE49-F238E27FC236}">
                <a16:creationId xmlns:a16="http://schemas.microsoft.com/office/drawing/2014/main" id="{00000000-0008-0000-0000-00008E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23" name="Freeform 487">
            <a:extLst>
              <a:ext uri="{FF2B5EF4-FFF2-40B4-BE49-F238E27FC236}">
                <a16:creationId xmlns:a16="http://schemas.microsoft.com/office/drawing/2014/main" id="{00000000-0008-0000-0000-00008F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24" name="Freeform 488">
            <a:extLst>
              <a:ext uri="{FF2B5EF4-FFF2-40B4-BE49-F238E27FC236}">
                <a16:creationId xmlns:a16="http://schemas.microsoft.com/office/drawing/2014/main" id="{00000000-0008-0000-0000-000090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0</xdr:rowOff>
    </xdr:to>
    <xdr:grpSp>
      <xdr:nvGrpSpPr>
        <xdr:cNvPr id="1425" name="Group 485">
          <a:extLst>
            <a:ext uri="{FF2B5EF4-FFF2-40B4-BE49-F238E27FC236}">
              <a16:creationId xmlns:a16="http://schemas.microsoft.com/office/drawing/2014/main" id="{00000000-0008-0000-0000-000091050000}"/>
            </a:ext>
          </a:extLst>
        </xdr:cNvPr>
        <xdr:cNvGrpSpPr>
          <a:grpSpLocks/>
        </xdr:cNvGrpSpPr>
      </xdr:nvGrpSpPr>
      <xdr:grpSpPr bwMode="auto">
        <a:xfrm rot="80297" flipH="1">
          <a:off x="824931" y="25135114"/>
          <a:ext cx="333375" cy="0"/>
          <a:chOff x="98" y="425"/>
          <a:chExt cx="93" cy="103"/>
        </a:xfrm>
      </xdr:grpSpPr>
      <xdr:sp macro="" textlink="">
        <xdr:nvSpPr>
          <xdr:cNvPr id="1426" name="Freeform 486">
            <a:extLst>
              <a:ext uri="{FF2B5EF4-FFF2-40B4-BE49-F238E27FC236}">
                <a16:creationId xmlns:a16="http://schemas.microsoft.com/office/drawing/2014/main" id="{00000000-0008-0000-0000-000092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27" name="Freeform 487">
            <a:extLst>
              <a:ext uri="{FF2B5EF4-FFF2-40B4-BE49-F238E27FC236}">
                <a16:creationId xmlns:a16="http://schemas.microsoft.com/office/drawing/2014/main" id="{00000000-0008-0000-0000-000093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28" name="Freeform 488">
            <a:extLst>
              <a:ext uri="{FF2B5EF4-FFF2-40B4-BE49-F238E27FC236}">
                <a16:creationId xmlns:a16="http://schemas.microsoft.com/office/drawing/2014/main" id="{00000000-0008-0000-0000-000094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226217</xdr:colOff>
      <xdr:row>70</xdr:row>
      <xdr:rowOff>0</xdr:rowOff>
    </xdr:from>
    <xdr:to>
      <xdr:col>1</xdr:col>
      <xdr:colOff>559592</xdr:colOff>
      <xdr:row>70</xdr:row>
      <xdr:rowOff>310596</xdr:rowOff>
    </xdr:to>
    <xdr:grpSp>
      <xdr:nvGrpSpPr>
        <xdr:cNvPr id="1429" name="Group 485">
          <a:extLst>
            <a:ext uri="{FF2B5EF4-FFF2-40B4-BE49-F238E27FC236}">
              <a16:creationId xmlns:a16="http://schemas.microsoft.com/office/drawing/2014/main" id="{00000000-0008-0000-0000-000095050000}"/>
            </a:ext>
          </a:extLst>
        </xdr:cNvPr>
        <xdr:cNvGrpSpPr>
          <a:grpSpLocks/>
        </xdr:cNvGrpSpPr>
      </xdr:nvGrpSpPr>
      <xdr:grpSpPr bwMode="auto">
        <a:xfrm rot="80297" flipH="1">
          <a:off x="824931" y="25135114"/>
          <a:ext cx="333375" cy="310596"/>
          <a:chOff x="98" y="425"/>
          <a:chExt cx="93" cy="103"/>
        </a:xfrm>
      </xdr:grpSpPr>
      <xdr:sp macro="" textlink="">
        <xdr:nvSpPr>
          <xdr:cNvPr id="1430" name="Freeform 486">
            <a:extLst>
              <a:ext uri="{FF2B5EF4-FFF2-40B4-BE49-F238E27FC236}">
                <a16:creationId xmlns:a16="http://schemas.microsoft.com/office/drawing/2014/main" id="{00000000-0008-0000-0000-000096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31" name="Freeform 487">
            <a:extLst>
              <a:ext uri="{FF2B5EF4-FFF2-40B4-BE49-F238E27FC236}">
                <a16:creationId xmlns:a16="http://schemas.microsoft.com/office/drawing/2014/main" id="{00000000-0008-0000-0000-000097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32" name="Freeform 488">
            <a:extLst>
              <a:ext uri="{FF2B5EF4-FFF2-40B4-BE49-F238E27FC236}">
                <a16:creationId xmlns:a16="http://schemas.microsoft.com/office/drawing/2014/main" id="{00000000-0008-0000-0000-000098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563563</xdr:colOff>
      <xdr:row>69</xdr:row>
      <xdr:rowOff>0</xdr:rowOff>
    </xdr:from>
    <xdr:to>
      <xdr:col>1</xdr:col>
      <xdr:colOff>839524</xdr:colOff>
      <xdr:row>70</xdr:row>
      <xdr:rowOff>0</xdr:rowOff>
    </xdr:to>
    <xdr:grpSp>
      <xdr:nvGrpSpPr>
        <xdr:cNvPr id="1433" name="Group 466">
          <a:extLst>
            <a:ext uri="{FF2B5EF4-FFF2-40B4-BE49-F238E27FC236}">
              <a16:creationId xmlns:a16="http://schemas.microsoft.com/office/drawing/2014/main" id="{00000000-0008-0000-0000-000099050000}"/>
            </a:ext>
          </a:extLst>
        </xdr:cNvPr>
        <xdr:cNvGrpSpPr>
          <a:grpSpLocks/>
        </xdr:cNvGrpSpPr>
      </xdr:nvGrpSpPr>
      <xdr:grpSpPr bwMode="auto">
        <a:xfrm>
          <a:off x="1162277" y="24841200"/>
          <a:ext cx="275961" cy="293914"/>
          <a:chOff x="401" y="230"/>
          <a:chExt cx="95" cy="183"/>
        </a:xfrm>
        <a:solidFill>
          <a:srgbClr val="FFC000"/>
        </a:solidFill>
      </xdr:grpSpPr>
      <xdr:grpSp>
        <xdr:nvGrpSpPr>
          <xdr:cNvPr id="1434" name="Group 467">
            <a:extLst>
              <a:ext uri="{FF2B5EF4-FFF2-40B4-BE49-F238E27FC236}">
                <a16:creationId xmlns:a16="http://schemas.microsoft.com/office/drawing/2014/main" id="{00000000-0008-0000-0000-00009A050000}"/>
              </a:ext>
            </a:extLst>
          </xdr:cNvPr>
          <xdr:cNvGrpSpPr>
            <a:grpSpLocks/>
          </xdr:cNvGrpSpPr>
        </xdr:nvGrpSpPr>
        <xdr:grpSpPr bwMode="auto">
          <a:xfrm>
            <a:off x="401" y="230"/>
            <a:ext cx="95" cy="183"/>
            <a:chOff x="390" y="230"/>
            <a:chExt cx="182" cy="165"/>
          </a:xfrm>
          <a:grpFill/>
        </xdr:grpSpPr>
        <xdr:sp macro="" textlink="">
          <xdr:nvSpPr>
            <xdr:cNvPr id="1445" name="Freeform 468">
              <a:extLst>
                <a:ext uri="{FF2B5EF4-FFF2-40B4-BE49-F238E27FC236}">
                  <a16:creationId xmlns:a16="http://schemas.microsoft.com/office/drawing/2014/main" id="{00000000-0008-0000-0000-0000A5050000}"/>
                </a:ext>
              </a:extLst>
            </xdr:cNvPr>
            <xdr:cNvSpPr>
              <a:spLocks/>
            </xdr:cNvSpPr>
          </xdr:nvSpPr>
          <xdr:spPr bwMode="auto">
            <a:xfrm rot="10800000">
              <a:off x="390" y="230"/>
              <a:ext cx="182" cy="7"/>
            </a:xfrm>
            <a:custGeom>
              <a:avLst/>
              <a:gdLst>
                <a:gd name="T0" fmla="*/ 4668 w 148"/>
                <a:gd name="T1" fmla="*/ 0 h 17"/>
                <a:gd name="T2" fmla="*/ 68363 w 148"/>
                <a:gd name="T3" fmla="*/ 0 h 17"/>
                <a:gd name="T4" fmla="*/ 73293 w 148"/>
                <a:gd name="T5" fmla="*/ 0 h 17"/>
                <a:gd name="T6" fmla="*/ 0 w 148"/>
                <a:gd name="T7" fmla="*/ 0 h 17"/>
                <a:gd name="T8" fmla="*/ 4668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446" name="Rectangle 469">
              <a:extLst>
                <a:ext uri="{FF2B5EF4-FFF2-40B4-BE49-F238E27FC236}">
                  <a16:creationId xmlns:a16="http://schemas.microsoft.com/office/drawing/2014/main" id="{00000000-0008-0000-0000-0000A6050000}"/>
                </a:ext>
              </a:extLst>
            </xdr:cNvPr>
            <xdr:cNvSpPr>
              <a:spLocks noChangeArrowheads="1"/>
            </xdr:cNvSpPr>
          </xdr:nvSpPr>
          <xdr:spPr bwMode="auto">
            <a:xfrm>
              <a:off x="391" y="237"/>
              <a:ext cx="180" cy="152"/>
            </a:xfrm>
            <a:prstGeom prst="rect">
              <a:avLst/>
            </a:prstGeom>
            <a:grpFill/>
            <a:ln w="3175">
              <a:solidFill>
                <a:srgbClr val="000000"/>
              </a:solidFill>
              <a:miter lim="800000"/>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sp macro="" textlink="">
          <xdr:nvSpPr>
            <xdr:cNvPr id="1447" name="Freeform 470">
              <a:extLst>
                <a:ext uri="{FF2B5EF4-FFF2-40B4-BE49-F238E27FC236}">
                  <a16:creationId xmlns:a16="http://schemas.microsoft.com/office/drawing/2014/main" id="{00000000-0008-0000-0000-0000A7050000}"/>
                </a:ext>
              </a:extLst>
            </xdr:cNvPr>
            <xdr:cNvSpPr>
              <a:spLocks/>
            </xdr:cNvSpPr>
          </xdr:nvSpPr>
          <xdr:spPr bwMode="auto">
            <a:xfrm rot="10800000" flipV="1">
              <a:off x="391" y="388"/>
              <a:ext cx="180" cy="7"/>
            </a:xfrm>
            <a:custGeom>
              <a:avLst/>
              <a:gdLst>
                <a:gd name="T0" fmla="*/ 3639 w 148"/>
                <a:gd name="T1" fmla="*/ 0 h 17"/>
                <a:gd name="T2" fmla="*/ 48868 w 148"/>
                <a:gd name="T3" fmla="*/ 0 h 17"/>
                <a:gd name="T4" fmla="*/ 52569 w 148"/>
                <a:gd name="T5" fmla="*/ 0 h 17"/>
                <a:gd name="T6" fmla="*/ 0 w 148"/>
                <a:gd name="T7" fmla="*/ 0 h 17"/>
                <a:gd name="T8" fmla="*/ 3639 w 148"/>
                <a:gd name="T9" fmla="*/ 0 h 1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148" h="17">
                  <a:moveTo>
                    <a:pt x="10" y="17"/>
                  </a:moveTo>
                  <a:lnTo>
                    <a:pt x="138" y="17"/>
                  </a:lnTo>
                  <a:lnTo>
                    <a:pt x="148" y="0"/>
                  </a:lnTo>
                  <a:lnTo>
                    <a:pt x="0" y="0"/>
                  </a:lnTo>
                  <a:lnTo>
                    <a:pt x="10" y="17"/>
                  </a:lnTo>
                  <a:close/>
                </a:path>
              </a:pathLst>
            </a:custGeom>
            <a:grpFill/>
            <a:ln w="3175" cap="flat" cmpd="sng">
              <a:solidFill>
                <a:srgbClr val="000000"/>
              </a:solidFill>
              <a:prstDash val="solid"/>
              <a:round/>
              <a:headEnd/>
              <a:tailEnd/>
            </a:ln>
            <a:effectLst/>
            <a:extLst>
              <a:ext uri="{AF507438-7753-43e0-B8FC-AC1667EBCBE1}">
                <a14:hiddenEffects xmlns:a14="http://schemas.microsoft.com/office/drawing/2010/main" xmlns="">
                  <a:effectLst>
                    <a:outerShdw dist="35921" dir="2700000" algn="ctr" rotWithShape="0">
                      <a:srgbClr val="808080"/>
                    </a:outerShdw>
                  </a:effectLst>
                </a14:hiddenEffects>
              </a:ext>
            </a:extLst>
          </xdr:spPr>
        </xdr:sp>
      </xdr:grpSp>
      <xdr:grpSp>
        <xdr:nvGrpSpPr>
          <xdr:cNvPr id="1435" name="Group 471">
            <a:extLst>
              <a:ext uri="{FF2B5EF4-FFF2-40B4-BE49-F238E27FC236}">
                <a16:creationId xmlns:a16="http://schemas.microsoft.com/office/drawing/2014/main" id="{00000000-0008-0000-0000-00009B050000}"/>
              </a:ext>
            </a:extLst>
          </xdr:cNvPr>
          <xdr:cNvGrpSpPr>
            <a:grpSpLocks/>
          </xdr:cNvGrpSpPr>
        </xdr:nvGrpSpPr>
        <xdr:grpSpPr bwMode="auto">
          <a:xfrm>
            <a:off x="402" y="246"/>
            <a:ext cx="94" cy="152"/>
            <a:chOff x="402" y="246"/>
            <a:chExt cx="94" cy="152"/>
          </a:xfrm>
          <a:grpFill/>
        </xdr:grpSpPr>
        <xdr:sp macro="" textlink="">
          <xdr:nvSpPr>
            <xdr:cNvPr id="1436" name="Oval 472">
              <a:extLst>
                <a:ext uri="{FF2B5EF4-FFF2-40B4-BE49-F238E27FC236}">
                  <a16:creationId xmlns:a16="http://schemas.microsoft.com/office/drawing/2014/main" id="{00000000-0008-0000-0000-00009C050000}"/>
                </a:ext>
              </a:extLst>
            </xdr:cNvPr>
            <xdr:cNvSpPr>
              <a:spLocks noChangeArrowheads="1"/>
            </xdr:cNvSpPr>
          </xdr:nvSpPr>
          <xdr:spPr bwMode="auto">
            <a:xfrm>
              <a:off x="439" y="246"/>
              <a:ext cx="19" cy="17"/>
            </a:xfrm>
            <a:prstGeom prst="ellipse">
              <a:avLst/>
            </a:prstGeom>
            <a:grpFill/>
            <a:ln w="9525">
              <a:solidFill>
                <a:srgbClr val="000000"/>
              </a:solidFill>
              <a:round/>
              <a:headEnd/>
              <a:tailEnd/>
            </a:ln>
          </xdr:spPr>
        </xdr:sp>
        <xdr:sp macro="" textlink="">
          <xdr:nvSpPr>
            <xdr:cNvPr id="1437" name="AutoShape 473">
              <a:extLst>
                <a:ext uri="{FF2B5EF4-FFF2-40B4-BE49-F238E27FC236}">
                  <a16:creationId xmlns:a16="http://schemas.microsoft.com/office/drawing/2014/main" id="{00000000-0008-0000-0000-00009D050000}"/>
                </a:ext>
              </a:extLst>
            </xdr:cNvPr>
            <xdr:cNvSpPr>
              <a:spLocks noChangeArrowheads="1"/>
            </xdr:cNvSpPr>
          </xdr:nvSpPr>
          <xdr:spPr bwMode="auto">
            <a:xfrm>
              <a:off x="402" y="274"/>
              <a:ext cx="12" cy="17"/>
            </a:xfrm>
            <a:prstGeom prst="flowChartDelay">
              <a:avLst/>
            </a:prstGeom>
            <a:grpFill/>
            <a:ln w="9525">
              <a:solidFill>
                <a:srgbClr val="000000"/>
              </a:solidFill>
              <a:miter lim="800000"/>
              <a:headEnd/>
              <a:tailEnd/>
            </a:ln>
          </xdr:spPr>
        </xdr:sp>
        <xdr:sp macro="" textlink="">
          <xdr:nvSpPr>
            <xdr:cNvPr id="1438" name="Oval 474">
              <a:extLst>
                <a:ext uri="{FF2B5EF4-FFF2-40B4-BE49-F238E27FC236}">
                  <a16:creationId xmlns:a16="http://schemas.microsoft.com/office/drawing/2014/main" id="{00000000-0008-0000-0000-00009E050000}"/>
                </a:ext>
              </a:extLst>
            </xdr:cNvPr>
            <xdr:cNvSpPr>
              <a:spLocks noChangeArrowheads="1"/>
            </xdr:cNvSpPr>
          </xdr:nvSpPr>
          <xdr:spPr bwMode="auto">
            <a:xfrm>
              <a:off x="439" y="300"/>
              <a:ext cx="19" cy="17"/>
            </a:xfrm>
            <a:prstGeom prst="ellipse">
              <a:avLst/>
            </a:prstGeom>
            <a:grpFill/>
            <a:ln w="9525">
              <a:solidFill>
                <a:srgbClr val="000000"/>
              </a:solidFill>
              <a:round/>
              <a:headEnd/>
              <a:tailEnd/>
            </a:ln>
          </xdr:spPr>
        </xdr:sp>
        <xdr:sp macro="" textlink="">
          <xdr:nvSpPr>
            <xdr:cNvPr id="1439" name="AutoShape 475">
              <a:extLst>
                <a:ext uri="{FF2B5EF4-FFF2-40B4-BE49-F238E27FC236}">
                  <a16:creationId xmlns:a16="http://schemas.microsoft.com/office/drawing/2014/main" id="{00000000-0008-0000-0000-00009F050000}"/>
                </a:ext>
              </a:extLst>
            </xdr:cNvPr>
            <xdr:cNvSpPr>
              <a:spLocks noChangeArrowheads="1"/>
            </xdr:cNvSpPr>
          </xdr:nvSpPr>
          <xdr:spPr bwMode="auto">
            <a:xfrm flipH="1">
              <a:off x="484" y="275"/>
              <a:ext cx="12" cy="17"/>
            </a:xfrm>
            <a:prstGeom prst="flowChartDelay">
              <a:avLst/>
            </a:prstGeom>
            <a:grpFill/>
            <a:ln w="9525">
              <a:solidFill>
                <a:srgbClr val="000000"/>
              </a:solidFill>
              <a:miter lim="800000"/>
              <a:headEnd/>
              <a:tailEnd/>
            </a:ln>
          </xdr:spPr>
        </xdr:sp>
        <xdr:sp macro="" textlink="">
          <xdr:nvSpPr>
            <xdr:cNvPr id="1440" name="AutoShape 476">
              <a:extLst>
                <a:ext uri="{FF2B5EF4-FFF2-40B4-BE49-F238E27FC236}">
                  <a16:creationId xmlns:a16="http://schemas.microsoft.com/office/drawing/2014/main" id="{00000000-0008-0000-0000-0000A0050000}"/>
                </a:ext>
              </a:extLst>
            </xdr:cNvPr>
            <xdr:cNvSpPr>
              <a:spLocks noChangeArrowheads="1"/>
            </xdr:cNvSpPr>
          </xdr:nvSpPr>
          <xdr:spPr bwMode="auto">
            <a:xfrm>
              <a:off x="402" y="329"/>
              <a:ext cx="12" cy="17"/>
            </a:xfrm>
            <a:prstGeom prst="flowChartDelay">
              <a:avLst/>
            </a:prstGeom>
            <a:grpFill/>
            <a:ln w="9525">
              <a:solidFill>
                <a:srgbClr val="000000"/>
              </a:solidFill>
              <a:miter lim="800000"/>
              <a:headEnd/>
              <a:tailEnd/>
            </a:ln>
          </xdr:spPr>
        </xdr:sp>
        <xdr:sp macro="" textlink="">
          <xdr:nvSpPr>
            <xdr:cNvPr id="1441" name="Oval 477">
              <a:extLst>
                <a:ext uri="{FF2B5EF4-FFF2-40B4-BE49-F238E27FC236}">
                  <a16:creationId xmlns:a16="http://schemas.microsoft.com/office/drawing/2014/main" id="{00000000-0008-0000-0000-0000A1050000}"/>
                </a:ext>
              </a:extLst>
            </xdr:cNvPr>
            <xdr:cNvSpPr>
              <a:spLocks noChangeArrowheads="1"/>
            </xdr:cNvSpPr>
          </xdr:nvSpPr>
          <xdr:spPr bwMode="auto">
            <a:xfrm>
              <a:off x="438" y="354"/>
              <a:ext cx="19" cy="17"/>
            </a:xfrm>
            <a:prstGeom prst="ellipse">
              <a:avLst/>
            </a:prstGeom>
            <a:grpFill/>
            <a:ln w="9525">
              <a:solidFill>
                <a:srgbClr val="000000"/>
              </a:solidFill>
              <a:round/>
              <a:headEnd/>
              <a:tailEnd/>
            </a:ln>
          </xdr:spPr>
        </xdr:sp>
        <xdr:sp macro="" textlink="">
          <xdr:nvSpPr>
            <xdr:cNvPr id="1442" name="AutoShape 478">
              <a:extLst>
                <a:ext uri="{FF2B5EF4-FFF2-40B4-BE49-F238E27FC236}">
                  <a16:creationId xmlns:a16="http://schemas.microsoft.com/office/drawing/2014/main" id="{00000000-0008-0000-0000-0000A2050000}"/>
                </a:ext>
              </a:extLst>
            </xdr:cNvPr>
            <xdr:cNvSpPr>
              <a:spLocks noChangeArrowheads="1"/>
            </xdr:cNvSpPr>
          </xdr:nvSpPr>
          <xdr:spPr bwMode="auto">
            <a:xfrm flipH="1">
              <a:off x="484" y="329"/>
              <a:ext cx="12" cy="17"/>
            </a:xfrm>
            <a:prstGeom prst="flowChartDelay">
              <a:avLst/>
            </a:prstGeom>
            <a:grpFill/>
            <a:ln w="9525">
              <a:solidFill>
                <a:srgbClr val="000000"/>
              </a:solidFill>
              <a:miter lim="800000"/>
              <a:headEnd/>
              <a:tailEnd/>
            </a:ln>
          </xdr:spPr>
        </xdr:sp>
        <xdr:sp macro="" textlink="">
          <xdr:nvSpPr>
            <xdr:cNvPr id="1443" name="AutoShape 479">
              <a:extLst>
                <a:ext uri="{FF2B5EF4-FFF2-40B4-BE49-F238E27FC236}">
                  <a16:creationId xmlns:a16="http://schemas.microsoft.com/office/drawing/2014/main" id="{00000000-0008-0000-0000-0000A3050000}"/>
                </a:ext>
              </a:extLst>
            </xdr:cNvPr>
            <xdr:cNvSpPr>
              <a:spLocks noChangeArrowheads="1"/>
            </xdr:cNvSpPr>
          </xdr:nvSpPr>
          <xdr:spPr bwMode="auto">
            <a:xfrm>
              <a:off x="402" y="380"/>
              <a:ext cx="12" cy="17"/>
            </a:xfrm>
            <a:prstGeom prst="flowChartDelay">
              <a:avLst/>
            </a:prstGeom>
            <a:grpFill/>
            <a:ln w="9525">
              <a:solidFill>
                <a:srgbClr val="000000"/>
              </a:solidFill>
              <a:miter lim="800000"/>
              <a:headEnd/>
              <a:tailEnd/>
            </a:ln>
          </xdr:spPr>
        </xdr:sp>
        <xdr:sp macro="" textlink="">
          <xdr:nvSpPr>
            <xdr:cNvPr id="1444" name="AutoShape 480">
              <a:extLst>
                <a:ext uri="{FF2B5EF4-FFF2-40B4-BE49-F238E27FC236}">
                  <a16:creationId xmlns:a16="http://schemas.microsoft.com/office/drawing/2014/main" id="{00000000-0008-0000-0000-0000A4050000}"/>
                </a:ext>
              </a:extLst>
            </xdr:cNvPr>
            <xdr:cNvSpPr>
              <a:spLocks noChangeArrowheads="1"/>
            </xdr:cNvSpPr>
          </xdr:nvSpPr>
          <xdr:spPr bwMode="auto">
            <a:xfrm flipH="1">
              <a:off x="484" y="381"/>
              <a:ext cx="12" cy="17"/>
            </a:xfrm>
            <a:prstGeom prst="flowChartDelay">
              <a:avLst/>
            </a:prstGeom>
            <a:grpFill/>
            <a:ln w="9525">
              <a:solidFill>
                <a:srgbClr val="000000"/>
              </a:solidFill>
              <a:miter lim="800000"/>
              <a:headEnd/>
              <a:tailEnd/>
            </a:ln>
          </xdr:spPr>
        </xdr:sp>
      </xdr:grpSp>
    </xdr:grpSp>
    <xdr:clientData/>
  </xdr:twoCellAnchor>
  <xdr:twoCellAnchor>
    <xdr:from>
      <xdr:col>1</xdr:col>
      <xdr:colOff>226217</xdr:colOff>
      <xdr:row>70</xdr:row>
      <xdr:rowOff>0</xdr:rowOff>
    </xdr:from>
    <xdr:to>
      <xdr:col>1</xdr:col>
      <xdr:colOff>559592</xdr:colOff>
      <xdr:row>70</xdr:row>
      <xdr:rowOff>0</xdr:rowOff>
    </xdr:to>
    <xdr:grpSp>
      <xdr:nvGrpSpPr>
        <xdr:cNvPr id="1448" name="Group 485">
          <a:extLst>
            <a:ext uri="{FF2B5EF4-FFF2-40B4-BE49-F238E27FC236}">
              <a16:creationId xmlns:a16="http://schemas.microsoft.com/office/drawing/2014/main" id="{00000000-0008-0000-0000-0000A8050000}"/>
            </a:ext>
          </a:extLst>
        </xdr:cNvPr>
        <xdr:cNvGrpSpPr>
          <a:grpSpLocks/>
        </xdr:cNvGrpSpPr>
      </xdr:nvGrpSpPr>
      <xdr:grpSpPr bwMode="auto">
        <a:xfrm rot="80297" flipH="1">
          <a:off x="824931" y="25135114"/>
          <a:ext cx="333375" cy="0"/>
          <a:chOff x="98" y="425"/>
          <a:chExt cx="93" cy="103"/>
        </a:xfrm>
      </xdr:grpSpPr>
      <xdr:sp macro="" textlink="">
        <xdr:nvSpPr>
          <xdr:cNvPr id="1449" name="Freeform 486">
            <a:extLst>
              <a:ext uri="{FF2B5EF4-FFF2-40B4-BE49-F238E27FC236}">
                <a16:creationId xmlns:a16="http://schemas.microsoft.com/office/drawing/2014/main" id="{00000000-0008-0000-0000-0000A9050000}"/>
              </a:ext>
            </a:extLst>
          </xdr:cNvPr>
          <xdr:cNvSpPr>
            <a:spLocks/>
          </xdr:cNvSpPr>
        </xdr:nvSpPr>
        <xdr:spPr bwMode="auto">
          <a:xfrm>
            <a:off x="100" y="425"/>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50" name="Freeform 487">
            <a:extLst>
              <a:ext uri="{FF2B5EF4-FFF2-40B4-BE49-F238E27FC236}">
                <a16:creationId xmlns:a16="http://schemas.microsoft.com/office/drawing/2014/main" id="{00000000-0008-0000-0000-0000AA050000}"/>
              </a:ext>
            </a:extLst>
          </xdr:cNvPr>
          <xdr:cNvSpPr>
            <a:spLocks/>
          </xdr:cNvSpPr>
        </xdr:nvSpPr>
        <xdr:spPr bwMode="auto">
          <a:xfrm>
            <a:off x="98" y="470"/>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sp macro="" textlink="">
        <xdr:nvSpPr>
          <xdr:cNvPr id="1451" name="Freeform 488">
            <a:extLst>
              <a:ext uri="{FF2B5EF4-FFF2-40B4-BE49-F238E27FC236}">
                <a16:creationId xmlns:a16="http://schemas.microsoft.com/office/drawing/2014/main" id="{00000000-0008-0000-0000-0000AB050000}"/>
              </a:ext>
            </a:extLst>
          </xdr:cNvPr>
          <xdr:cNvSpPr>
            <a:spLocks/>
          </xdr:cNvSpPr>
        </xdr:nvSpPr>
        <xdr:spPr bwMode="auto">
          <a:xfrm>
            <a:off x="99" y="514"/>
            <a:ext cx="91" cy="14"/>
          </a:xfrm>
          <a:custGeom>
            <a:avLst/>
            <a:gdLst>
              <a:gd name="T0" fmla="*/ 0 w 218"/>
              <a:gd name="T1" fmla="*/ 0 h 60"/>
              <a:gd name="T2" fmla="*/ 0 w 218"/>
              <a:gd name="T3" fmla="*/ 0 h 60"/>
              <a:gd name="T4" fmla="*/ 0 w 218"/>
              <a:gd name="T5" fmla="*/ 0 h 60"/>
              <a:gd name="T6" fmla="*/ 0 w 218"/>
              <a:gd name="T7" fmla="*/ 0 h 60"/>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18" h="60">
                <a:moveTo>
                  <a:pt x="31" y="0"/>
                </a:moveTo>
                <a:lnTo>
                  <a:pt x="218" y="47"/>
                </a:lnTo>
                <a:lnTo>
                  <a:pt x="31" y="60"/>
                </a:lnTo>
                <a:cubicBezTo>
                  <a:pt x="0" y="52"/>
                  <a:pt x="0" y="2"/>
                  <a:pt x="31" y="0"/>
                </a:cubicBezTo>
                <a:close/>
              </a:path>
            </a:pathLst>
          </a:custGeom>
          <a:gradFill rotWithShape="0">
            <a:gsLst>
              <a:gs pos="0">
                <a:srgbClr val="FF0000"/>
              </a:gs>
              <a:gs pos="100000">
                <a:srgbClr val="FFFF00"/>
              </a:gs>
            </a:gsLst>
            <a:lin ang="0" scaled="1"/>
          </a:gradFill>
          <a:ln w="3175" cap="flat" cmpd="sng">
            <a:solidFill>
              <a:srgbClr val="000000"/>
            </a:solidFill>
            <a:prstDash val="solid"/>
            <a:round/>
            <a:headEnd/>
            <a:tailEnd/>
          </a:ln>
        </xdr:spPr>
      </xdr:sp>
    </xdr:grpSp>
    <xdr:clientData/>
  </xdr:twoCellAnchor>
  <xdr:twoCellAnchor>
    <xdr:from>
      <xdr:col>1</xdr:col>
      <xdr:colOff>523122</xdr:colOff>
      <xdr:row>30</xdr:row>
      <xdr:rowOff>7257</xdr:rowOff>
    </xdr:from>
    <xdr:to>
      <xdr:col>1</xdr:col>
      <xdr:colOff>822865</xdr:colOff>
      <xdr:row>30</xdr:row>
      <xdr:rowOff>346307</xdr:rowOff>
    </xdr:to>
    <xdr:grpSp>
      <xdr:nvGrpSpPr>
        <xdr:cNvPr id="1452" name="Group 6254">
          <a:extLst>
            <a:ext uri="{FF2B5EF4-FFF2-40B4-BE49-F238E27FC236}">
              <a16:creationId xmlns:a16="http://schemas.microsoft.com/office/drawing/2014/main" id="{00000000-0008-0000-0000-0000AC050000}"/>
            </a:ext>
          </a:extLst>
        </xdr:cNvPr>
        <xdr:cNvGrpSpPr>
          <a:grpSpLocks/>
        </xdr:cNvGrpSpPr>
      </xdr:nvGrpSpPr>
      <xdr:grpSpPr bwMode="auto">
        <a:xfrm>
          <a:off x="1121836" y="11371943"/>
          <a:ext cx="299743" cy="300950"/>
          <a:chOff x="73" y="225"/>
          <a:chExt cx="17" cy="75"/>
        </a:xfrm>
      </xdr:grpSpPr>
      <xdr:sp macro="" textlink="">
        <xdr:nvSpPr>
          <xdr:cNvPr id="1453" name="Rectangle 696">
            <a:extLst>
              <a:ext uri="{FF2B5EF4-FFF2-40B4-BE49-F238E27FC236}">
                <a16:creationId xmlns:a16="http://schemas.microsoft.com/office/drawing/2014/main" id="{00000000-0008-0000-0000-0000AD05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54" name="Rectangle 697">
            <a:extLst>
              <a:ext uri="{FF2B5EF4-FFF2-40B4-BE49-F238E27FC236}">
                <a16:creationId xmlns:a16="http://schemas.microsoft.com/office/drawing/2014/main" id="{00000000-0008-0000-0000-0000AE05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55" name="Freeform 698">
            <a:extLst>
              <a:ext uri="{FF2B5EF4-FFF2-40B4-BE49-F238E27FC236}">
                <a16:creationId xmlns:a16="http://schemas.microsoft.com/office/drawing/2014/main" id="{00000000-0008-0000-0000-0000AF05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523122</xdr:colOff>
      <xdr:row>28</xdr:row>
      <xdr:rowOff>333830</xdr:rowOff>
    </xdr:from>
    <xdr:to>
      <xdr:col>1</xdr:col>
      <xdr:colOff>822865</xdr:colOff>
      <xdr:row>30</xdr:row>
      <xdr:rowOff>319094</xdr:rowOff>
    </xdr:to>
    <xdr:grpSp>
      <xdr:nvGrpSpPr>
        <xdr:cNvPr id="1456" name="Group 6254">
          <a:extLst>
            <a:ext uri="{FF2B5EF4-FFF2-40B4-BE49-F238E27FC236}">
              <a16:creationId xmlns:a16="http://schemas.microsoft.com/office/drawing/2014/main" id="{00000000-0008-0000-0000-0000B0050000}"/>
            </a:ext>
          </a:extLst>
        </xdr:cNvPr>
        <xdr:cNvGrpSpPr>
          <a:grpSpLocks/>
        </xdr:cNvGrpSpPr>
      </xdr:nvGrpSpPr>
      <xdr:grpSpPr bwMode="auto">
        <a:xfrm>
          <a:off x="1121836" y="11054081"/>
          <a:ext cx="299743" cy="614459"/>
          <a:chOff x="73" y="225"/>
          <a:chExt cx="17" cy="75"/>
        </a:xfrm>
      </xdr:grpSpPr>
      <xdr:sp macro="" textlink="">
        <xdr:nvSpPr>
          <xdr:cNvPr id="1457" name="Rectangle 696">
            <a:extLst>
              <a:ext uri="{FF2B5EF4-FFF2-40B4-BE49-F238E27FC236}">
                <a16:creationId xmlns:a16="http://schemas.microsoft.com/office/drawing/2014/main" id="{00000000-0008-0000-0000-0000B105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58" name="Rectangle 697">
            <a:extLst>
              <a:ext uri="{FF2B5EF4-FFF2-40B4-BE49-F238E27FC236}">
                <a16:creationId xmlns:a16="http://schemas.microsoft.com/office/drawing/2014/main" id="{00000000-0008-0000-0000-0000B205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59" name="Freeform 698">
            <a:extLst>
              <a:ext uri="{FF2B5EF4-FFF2-40B4-BE49-F238E27FC236}">
                <a16:creationId xmlns:a16="http://schemas.microsoft.com/office/drawing/2014/main" id="{00000000-0008-0000-0000-0000B305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523122</xdr:colOff>
      <xdr:row>28</xdr:row>
      <xdr:rowOff>0</xdr:rowOff>
    </xdr:from>
    <xdr:to>
      <xdr:col>1</xdr:col>
      <xdr:colOff>822865</xdr:colOff>
      <xdr:row>28</xdr:row>
      <xdr:rowOff>328164</xdr:rowOff>
    </xdr:to>
    <xdr:grpSp>
      <xdr:nvGrpSpPr>
        <xdr:cNvPr id="1460" name="Group 6254">
          <a:extLst>
            <a:ext uri="{FF2B5EF4-FFF2-40B4-BE49-F238E27FC236}">
              <a16:creationId xmlns:a16="http://schemas.microsoft.com/office/drawing/2014/main" id="{00000000-0008-0000-0000-0000B4050000}"/>
            </a:ext>
          </a:extLst>
        </xdr:cNvPr>
        <xdr:cNvGrpSpPr>
          <a:grpSpLocks/>
        </xdr:cNvGrpSpPr>
      </xdr:nvGrpSpPr>
      <xdr:grpSpPr bwMode="auto">
        <a:xfrm>
          <a:off x="1121836" y="10765971"/>
          <a:ext cx="299743" cy="290064"/>
          <a:chOff x="73" y="225"/>
          <a:chExt cx="17" cy="75"/>
        </a:xfrm>
      </xdr:grpSpPr>
      <xdr:sp macro="" textlink="">
        <xdr:nvSpPr>
          <xdr:cNvPr id="1461" name="Rectangle 696">
            <a:extLst>
              <a:ext uri="{FF2B5EF4-FFF2-40B4-BE49-F238E27FC236}">
                <a16:creationId xmlns:a16="http://schemas.microsoft.com/office/drawing/2014/main" id="{00000000-0008-0000-0000-0000B505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62" name="Rectangle 697">
            <a:extLst>
              <a:ext uri="{FF2B5EF4-FFF2-40B4-BE49-F238E27FC236}">
                <a16:creationId xmlns:a16="http://schemas.microsoft.com/office/drawing/2014/main" id="{00000000-0008-0000-0000-0000B605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63" name="Freeform 698">
            <a:extLst>
              <a:ext uri="{FF2B5EF4-FFF2-40B4-BE49-F238E27FC236}">
                <a16:creationId xmlns:a16="http://schemas.microsoft.com/office/drawing/2014/main" id="{00000000-0008-0000-0000-0000B705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523122</xdr:colOff>
      <xdr:row>29</xdr:row>
      <xdr:rowOff>7257</xdr:rowOff>
    </xdr:from>
    <xdr:to>
      <xdr:col>1</xdr:col>
      <xdr:colOff>822865</xdr:colOff>
      <xdr:row>29</xdr:row>
      <xdr:rowOff>346307</xdr:rowOff>
    </xdr:to>
    <xdr:grpSp>
      <xdr:nvGrpSpPr>
        <xdr:cNvPr id="1468" name="Group 6254">
          <a:extLst>
            <a:ext uri="{FF2B5EF4-FFF2-40B4-BE49-F238E27FC236}">
              <a16:creationId xmlns:a16="http://schemas.microsoft.com/office/drawing/2014/main" id="{00000000-0008-0000-0000-0000BC050000}"/>
            </a:ext>
          </a:extLst>
        </xdr:cNvPr>
        <xdr:cNvGrpSpPr>
          <a:grpSpLocks/>
        </xdr:cNvGrpSpPr>
      </xdr:nvGrpSpPr>
      <xdr:grpSpPr bwMode="auto">
        <a:xfrm>
          <a:off x="1121836" y="11067143"/>
          <a:ext cx="299743" cy="300950"/>
          <a:chOff x="73" y="225"/>
          <a:chExt cx="17" cy="75"/>
        </a:xfrm>
      </xdr:grpSpPr>
      <xdr:sp macro="" textlink="">
        <xdr:nvSpPr>
          <xdr:cNvPr id="1469" name="Rectangle 696">
            <a:extLst>
              <a:ext uri="{FF2B5EF4-FFF2-40B4-BE49-F238E27FC236}">
                <a16:creationId xmlns:a16="http://schemas.microsoft.com/office/drawing/2014/main" id="{00000000-0008-0000-0000-0000BD05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70" name="Rectangle 697">
            <a:extLst>
              <a:ext uri="{FF2B5EF4-FFF2-40B4-BE49-F238E27FC236}">
                <a16:creationId xmlns:a16="http://schemas.microsoft.com/office/drawing/2014/main" id="{00000000-0008-0000-0000-0000BE05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1471" name="Freeform 698">
            <a:extLst>
              <a:ext uri="{FF2B5EF4-FFF2-40B4-BE49-F238E27FC236}">
                <a16:creationId xmlns:a16="http://schemas.microsoft.com/office/drawing/2014/main" id="{00000000-0008-0000-0000-0000BF05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twoCellAnchor>
    <xdr:from>
      <xdr:col>1</xdr:col>
      <xdr:colOff>523122</xdr:colOff>
      <xdr:row>27</xdr:row>
      <xdr:rowOff>0</xdr:rowOff>
    </xdr:from>
    <xdr:to>
      <xdr:col>1</xdr:col>
      <xdr:colOff>822865</xdr:colOff>
      <xdr:row>27</xdr:row>
      <xdr:rowOff>328164</xdr:rowOff>
    </xdr:to>
    <xdr:grpSp>
      <xdr:nvGrpSpPr>
        <xdr:cNvPr id="293" name="Group 6254">
          <a:extLst>
            <a:ext uri="{FF2B5EF4-FFF2-40B4-BE49-F238E27FC236}">
              <a16:creationId xmlns:a16="http://schemas.microsoft.com/office/drawing/2014/main" id="{00000000-0008-0000-0000-000025010000}"/>
            </a:ext>
          </a:extLst>
        </xdr:cNvPr>
        <xdr:cNvGrpSpPr>
          <a:grpSpLocks/>
        </xdr:cNvGrpSpPr>
      </xdr:nvGrpSpPr>
      <xdr:grpSpPr bwMode="auto">
        <a:xfrm>
          <a:off x="1121836" y="10472057"/>
          <a:ext cx="299743" cy="290064"/>
          <a:chOff x="73" y="225"/>
          <a:chExt cx="17" cy="75"/>
        </a:xfrm>
      </xdr:grpSpPr>
      <xdr:sp macro="" textlink="">
        <xdr:nvSpPr>
          <xdr:cNvPr id="294" name="Rectangle 696">
            <a:extLst>
              <a:ext uri="{FF2B5EF4-FFF2-40B4-BE49-F238E27FC236}">
                <a16:creationId xmlns:a16="http://schemas.microsoft.com/office/drawing/2014/main" id="{00000000-0008-0000-0000-000026010000}"/>
              </a:ext>
            </a:extLst>
          </xdr:cNvPr>
          <xdr:cNvSpPr>
            <a:spLocks noChangeArrowheads="1"/>
          </xdr:cNvSpPr>
        </xdr:nvSpPr>
        <xdr:spPr bwMode="auto">
          <a:xfrm>
            <a:off x="74" y="239"/>
            <a:ext cx="15" cy="61"/>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295" name="Rectangle 697">
            <a:extLst>
              <a:ext uri="{FF2B5EF4-FFF2-40B4-BE49-F238E27FC236}">
                <a16:creationId xmlns:a16="http://schemas.microsoft.com/office/drawing/2014/main" id="{00000000-0008-0000-0000-000027010000}"/>
              </a:ext>
            </a:extLst>
          </xdr:cNvPr>
          <xdr:cNvSpPr>
            <a:spLocks noChangeArrowheads="1"/>
          </xdr:cNvSpPr>
        </xdr:nvSpPr>
        <xdr:spPr bwMode="auto">
          <a:xfrm>
            <a:off x="73" y="225"/>
            <a:ext cx="17" cy="12"/>
          </a:xfrm>
          <a:prstGeom prst="rect">
            <a:avLst/>
          </a:prstGeom>
          <a:gradFill rotWithShape="0">
            <a:gsLst>
              <a:gs pos="0">
                <a:srgbClr val="2F2F2F"/>
              </a:gs>
              <a:gs pos="50000">
                <a:srgbClr val="C0C0C0"/>
              </a:gs>
              <a:gs pos="100000">
                <a:srgbClr val="2F2F2F"/>
              </a:gs>
            </a:gsLst>
            <a:lin ang="0" scaled="1"/>
          </a:gradFill>
          <a:ln w="3175">
            <a:solidFill>
              <a:srgbClr val="000000"/>
            </a:solidFill>
            <a:miter lim="800000"/>
            <a:headEnd/>
            <a:tailEnd/>
          </a:ln>
        </xdr:spPr>
      </xdr:sp>
      <xdr:sp macro="" textlink="">
        <xdr:nvSpPr>
          <xdr:cNvPr id="302" name="Freeform 698">
            <a:extLst>
              <a:ext uri="{FF2B5EF4-FFF2-40B4-BE49-F238E27FC236}">
                <a16:creationId xmlns:a16="http://schemas.microsoft.com/office/drawing/2014/main" id="{00000000-0008-0000-0000-00002E010000}"/>
              </a:ext>
            </a:extLst>
          </xdr:cNvPr>
          <xdr:cNvSpPr>
            <a:spLocks/>
          </xdr:cNvSpPr>
        </xdr:nvSpPr>
        <xdr:spPr bwMode="auto">
          <a:xfrm>
            <a:off x="73" y="237"/>
            <a:ext cx="17" cy="2"/>
          </a:xfrm>
          <a:custGeom>
            <a:avLst/>
            <a:gdLst>
              <a:gd name="T0" fmla="*/ 0 w 148"/>
              <a:gd name="T1" fmla="*/ 0 h 17"/>
              <a:gd name="T2" fmla="*/ 0 w 148"/>
              <a:gd name="T3" fmla="*/ 0 h 17"/>
              <a:gd name="T4" fmla="*/ 0 w 148"/>
              <a:gd name="T5" fmla="*/ 0 h 17"/>
              <a:gd name="T6" fmla="*/ 0 w 148"/>
              <a:gd name="T7" fmla="*/ 0 h 17"/>
              <a:gd name="T8" fmla="*/ 0 w 148"/>
              <a:gd name="T9" fmla="*/ 0 h 17"/>
              <a:gd name="T10" fmla="*/ 0 60000 65536"/>
              <a:gd name="T11" fmla="*/ 0 60000 65536"/>
              <a:gd name="T12" fmla="*/ 0 60000 65536"/>
              <a:gd name="T13" fmla="*/ 0 60000 65536"/>
              <a:gd name="T14" fmla="*/ 0 60000 65536"/>
              <a:gd name="T15" fmla="*/ 0 w 148"/>
              <a:gd name="T16" fmla="*/ 0 h 17"/>
              <a:gd name="T17" fmla="*/ 148 w 148"/>
              <a:gd name="T18" fmla="*/ 17 h 17"/>
            </a:gdLst>
            <a:ahLst/>
            <a:cxnLst>
              <a:cxn ang="T10">
                <a:pos x="T0" y="T1"/>
              </a:cxn>
              <a:cxn ang="T11">
                <a:pos x="T2" y="T3"/>
              </a:cxn>
              <a:cxn ang="T12">
                <a:pos x="T4" y="T5"/>
              </a:cxn>
              <a:cxn ang="T13">
                <a:pos x="T6" y="T7"/>
              </a:cxn>
              <a:cxn ang="T14">
                <a:pos x="T8" y="T9"/>
              </a:cxn>
            </a:cxnLst>
            <a:rect l="T15" t="T16" r="T17" b="T18"/>
            <a:pathLst>
              <a:path w="148" h="17">
                <a:moveTo>
                  <a:pt x="10" y="17"/>
                </a:moveTo>
                <a:lnTo>
                  <a:pt x="138" y="17"/>
                </a:lnTo>
                <a:lnTo>
                  <a:pt x="148" y="0"/>
                </a:lnTo>
                <a:lnTo>
                  <a:pt x="0" y="0"/>
                </a:lnTo>
                <a:lnTo>
                  <a:pt x="10" y="17"/>
                </a:lnTo>
                <a:close/>
              </a:path>
            </a:pathLst>
          </a:custGeom>
          <a:gradFill rotWithShape="0">
            <a:gsLst>
              <a:gs pos="0">
                <a:srgbClr val="2F2F2F"/>
              </a:gs>
              <a:gs pos="50000">
                <a:srgbClr val="C0C0C0"/>
              </a:gs>
              <a:gs pos="100000">
                <a:srgbClr val="2F2F2F"/>
              </a:gs>
            </a:gsLst>
            <a:lin ang="0" scaled="1"/>
          </a:gradFill>
          <a:ln w="3175">
            <a:solidFill>
              <a:srgbClr val="000000"/>
            </a:solidFill>
            <a:round/>
            <a:headEnd/>
            <a:tailEnd/>
          </a:ln>
        </xdr:spPr>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219075</xdr:colOff>
      <xdr:row>23</xdr:row>
      <xdr:rowOff>0</xdr:rowOff>
    </xdr:from>
    <xdr:to>
      <xdr:col>1</xdr:col>
      <xdr:colOff>495300</xdr:colOff>
      <xdr:row>23</xdr:row>
      <xdr:rowOff>0</xdr:rowOff>
    </xdr:to>
    <xdr:grpSp>
      <xdr:nvGrpSpPr>
        <xdr:cNvPr id="2" name="Group 1477">
          <a:extLst>
            <a:ext uri="{FF2B5EF4-FFF2-40B4-BE49-F238E27FC236}">
              <a16:creationId xmlns:a16="http://schemas.microsoft.com/office/drawing/2014/main" id="{00000000-0008-0000-0100-000002000000}"/>
            </a:ext>
          </a:extLst>
        </xdr:cNvPr>
        <xdr:cNvGrpSpPr>
          <a:grpSpLocks/>
        </xdr:cNvGrpSpPr>
      </xdr:nvGrpSpPr>
      <xdr:grpSpPr bwMode="auto">
        <a:xfrm>
          <a:off x="306161" y="4724400"/>
          <a:ext cx="276225" cy="0"/>
          <a:chOff x="1183" y="1087"/>
          <a:chExt cx="58" cy="159"/>
        </a:xfrm>
      </xdr:grpSpPr>
      <xdr:grpSp>
        <xdr:nvGrpSpPr>
          <xdr:cNvPr id="3" name="Group 1478">
            <a:extLst>
              <a:ext uri="{FF2B5EF4-FFF2-40B4-BE49-F238E27FC236}">
                <a16:creationId xmlns:a16="http://schemas.microsoft.com/office/drawing/2014/main" id="{00000000-0008-0000-0100-000003000000}"/>
              </a:ext>
            </a:extLst>
          </xdr:cNvPr>
          <xdr:cNvGrpSpPr>
            <a:grpSpLocks/>
          </xdr:cNvGrpSpPr>
        </xdr:nvGrpSpPr>
        <xdr:grpSpPr bwMode="auto">
          <a:xfrm>
            <a:off x="1183" y="1087"/>
            <a:ext cx="58" cy="152"/>
            <a:chOff x="49" y="586"/>
            <a:chExt cx="47" cy="91"/>
          </a:xfrm>
        </xdr:grpSpPr>
        <xdr:sp macro="" textlink="">
          <xdr:nvSpPr>
            <xdr:cNvPr id="6" name="Rectangle 1479">
              <a:extLst>
                <a:ext uri="{FF2B5EF4-FFF2-40B4-BE49-F238E27FC236}">
                  <a16:creationId xmlns:a16="http://schemas.microsoft.com/office/drawing/2014/main" id="{00000000-0008-0000-0100-000006000000}"/>
                </a:ext>
              </a:extLst>
            </xdr:cNvPr>
            <xdr:cNvSpPr>
              <a:spLocks noChangeArrowheads="1"/>
            </xdr:cNvSpPr>
          </xdr:nvSpPr>
          <xdr:spPr bwMode="auto">
            <a:xfrm>
              <a:off x="49" y="589"/>
              <a:ext cx="47" cy="88"/>
            </a:xfrm>
            <a:prstGeom prst="rect">
              <a:avLst/>
            </a:pr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317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7" name="Freeform 1480">
              <a:extLst>
                <a:ext uri="{FF2B5EF4-FFF2-40B4-BE49-F238E27FC236}">
                  <a16:creationId xmlns:a16="http://schemas.microsoft.com/office/drawing/2014/main" id="{00000000-0008-0000-0100-000007000000}"/>
                </a:ext>
              </a:extLst>
            </xdr:cNvPr>
            <xdr:cNvSpPr>
              <a:spLocks/>
            </xdr:cNvSpPr>
          </xdr:nvSpPr>
          <xdr:spPr bwMode="auto">
            <a:xfrm>
              <a:off x="49" y="586"/>
              <a:ext cx="47" cy="3"/>
            </a:xfrm>
            <a:custGeom>
              <a:avLst/>
              <a:gdLst>
                <a:gd name="T0" fmla="*/ 0 w 51"/>
                <a:gd name="T1" fmla="*/ 3 h 3"/>
                <a:gd name="T2" fmla="*/ 4 w 51"/>
                <a:gd name="T3" fmla="*/ 0 h 3"/>
                <a:gd name="T4" fmla="*/ 6 w 51"/>
                <a:gd name="T5" fmla="*/ 0 h 3"/>
                <a:gd name="T6" fmla="*/ 6 w 51"/>
                <a:gd name="T7" fmla="*/ 3 h 3"/>
                <a:gd name="T8" fmla="*/ 0 w 51"/>
                <a:gd name="T9" fmla="*/ 3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317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grpSp>
      <xdr:sp macro="" textlink="">
        <xdr:nvSpPr>
          <xdr:cNvPr id="4" name="Freeform 1481">
            <a:extLst>
              <a:ext uri="{FF2B5EF4-FFF2-40B4-BE49-F238E27FC236}">
                <a16:creationId xmlns:a16="http://schemas.microsoft.com/office/drawing/2014/main" id="{00000000-0008-0000-0100-000004000000}"/>
              </a:ext>
            </a:extLst>
          </xdr:cNvPr>
          <xdr:cNvSpPr>
            <a:spLocks/>
          </xdr:cNvSpPr>
        </xdr:nvSpPr>
        <xdr:spPr bwMode="auto">
          <a:xfrm rot="10800000">
            <a:off x="1183" y="1236"/>
            <a:ext cx="58" cy="10"/>
          </a:xfrm>
          <a:custGeom>
            <a:avLst/>
            <a:gdLst>
              <a:gd name="T0" fmla="*/ 0 w 51"/>
              <a:gd name="T1" fmla="*/ 2147483647 h 3"/>
              <a:gd name="T2" fmla="*/ 789 w 51"/>
              <a:gd name="T3" fmla="*/ 0 h 3"/>
              <a:gd name="T4" fmla="*/ 7982 w 51"/>
              <a:gd name="T5" fmla="*/ 0 h 3"/>
              <a:gd name="T6" fmla="*/ 8687 w 51"/>
              <a:gd name="T7" fmla="*/ 2147483647 h 3"/>
              <a:gd name="T8" fmla="*/ 0 w 51"/>
              <a:gd name="T9" fmla="*/ 2147483647 h 3"/>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51" h="3">
                <a:moveTo>
                  <a:pt x="0" y="3"/>
                </a:moveTo>
                <a:lnTo>
                  <a:pt x="4" y="0"/>
                </a:lnTo>
                <a:lnTo>
                  <a:pt x="47" y="0"/>
                </a:lnTo>
                <a:lnTo>
                  <a:pt x="51" y="3"/>
                </a:lnTo>
                <a:lnTo>
                  <a:pt x="0" y="3"/>
                </a:lnTo>
                <a:close/>
              </a:path>
            </a:pathLst>
          </a:custGeom>
          <a:gradFill rotWithShape="0">
            <a:gsLst>
              <a:gs pos="0">
                <a:srgbClr val="760000"/>
              </a:gs>
              <a:gs pos="50000">
                <a:srgbClr xmlns:mc="http://schemas.openxmlformats.org/markup-compatibility/2006" xmlns:a14="http://schemas.microsoft.com/office/drawing/2010/main" val="FF0000" mc:Ignorable="a14" a14:legacySpreadsheetColorIndex="10"/>
              </a:gs>
              <a:gs pos="100000">
                <a:srgbClr val="760000"/>
              </a:gs>
            </a:gsLst>
            <a:lin ang="0" scaled="1"/>
          </a:gradFill>
          <a:ln w="3175" cap="flat" cmpd="sng">
            <a:solidFill>
              <a:srgbClr xmlns:mc="http://schemas.openxmlformats.org/markup-compatibility/2006" xmlns:a14="http://schemas.microsoft.com/office/drawing/2010/main" val="000000" mc:Ignorable="a14" a14:legacySpreadsheetColorIndex="64"/>
            </a:solidFill>
            <a:prstDash val="solid"/>
            <a:round/>
            <a:headEnd/>
            <a:tailEnd/>
          </a:ln>
        </xdr:spPr>
      </xdr:sp>
      <xdr:sp macro="" textlink="">
        <xdr:nvSpPr>
          <xdr:cNvPr id="5" name="AutoShape 1482">
            <a:extLst>
              <a:ext uri="{FF2B5EF4-FFF2-40B4-BE49-F238E27FC236}">
                <a16:creationId xmlns:a16="http://schemas.microsoft.com/office/drawing/2014/main" id="{00000000-0008-0000-0100-000005000000}"/>
              </a:ext>
            </a:extLst>
          </xdr:cNvPr>
          <xdr:cNvSpPr>
            <a:spLocks noChangeArrowheads="1"/>
          </xdr:cNvSpPr>
        </xdr:nvSpPr>
        <xdr:spPr bwMode="auto">
          <a:xfrm rot="915307">
            <a:off x="1185" y="1205"/>
            <a:ext cx="52" cy="14"/>
          </a:xfrm>
          <a:prstGeom prst="can">
            <a:avLst>
              <a:gd name="adj" fmla="val 50000"/>
            </a:avLst>
          </a:prstGeom>
          <a:gradFill rotWithShape="1">
            <a:gsLst>
              <a:gs pos="0">
                <a:srgbClr val="595959"/>
              </a:gs>
              <a:gs pos="50000">
                <a:srgbClr xmlns:mc="http://schemas.openxmlformats.org/markup-compatibility/2006" xmlns:a14="http://schemas.microsoft.com/office/drawing/2010/main" val="C0C0C0" mc:Ignorable="a14" a14:legacySpreadsheetColorIndex="22"/>
              </a:gs>
              <a:gs pos="100000">
                <a:srgbClr val="595959"/>
              </a:gs>
            </a:gsLst>
            <a:lin ang="5400000" scaled="1"/>
          </a:gra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xdr:col>
      <xdr:colOff>190500</xdr:colOff>
      <xdr:row>43</xdr:row>
      <xdr:rowOff>0</xdr:rowOff>
    </xdr:from>
    <xdr:to>
      <xdr:col>1</xdr:col>
      <xdr:colOff>504825</xdr:colOff>
      <xdr:row>43</xdr:row>
      <xdr:rowOff>0</xdr:rowOff>
    </xdr:to>
    <xdr:grpSp>
      <xdr:nvGrpSpPr>
        <xdr:cNvPr id="8" name="Group 1364">
          <a:extLst>
            <a:ext uri="{FF2B5EF4-FFF2-40B4-BE49-F238E27FC236}">
              <a16:creationId xmlns:a16="http://schemas.microsoft.com/office/drawing/2014/main" id="{00000000-0008-0000-0100-000008000000}"/>
            </a:ext>
          </a:extLst>
        </xdr:cNvPr>
        <xdr:cNvGrpSpPr>
          <a:grpSpLocks/>
        </xdr:cNvGrpSpPr>
      </xdr:nvGrpSpPr>
      <xdr:grpSpPr bwMode="auto">
        <a:xfrm>
          <a:off x="277586" y="6422571"/>
          <a:ext cx="314325" cy="0"/>
          <a:chOff x="2155" y="1800"/>
          <a:chExt cx="425" cy="1395"/>
        </a:xfrm>
      </xdr:grpSpPr>
      <xdr:sp macro="" textlink="">
        <xdr:nvSpPr>
          <xdr:cNvPr id="9" name="Rectangle 601">
            <a:extLst>
              <a:ext uri="{FF2B5EF4-FFF2-40B4-BE49-F238E27FC236}">
                <a16:creationId xmlns:a16="http://schemas.microsoft.com/office/drawing/2014/main" id="{00000000-0008-0000-0100-000009000000}"/>
              </a:ext>
            </a:extLst>
          </xdr:cNvPr>
          <xdr:cNvSpPr>
            <a:spLocks noChangeArrowheads="1"/>
          </xdr:cNvSpPr>
        </xdr:nvSpPr>
        <xdr:spPr bwMode="auto">
          <a:xfrm rot="10800000">
            <a:off x="1278465221300" y="8124825"/>
            <a:ext cx="425" cy="0"/>
          </a:xfrm>
          <a:prstGeom prst="rect">
            <a:avLst/>
          </a:prstGeom>
          <a:gradFill rotWithShape="0">
            <a:gsLst>
              <a:gs pos="0">
                <a:srgbClr val="760000"/>
              </a:gs>
              <a:gs pos="50000">
                <a:srgbClr val="FF0000"/>
              </a:gs>
              <a:gs pos="100000">
                <a:srgbClr val="760000"/>
              </a:gs>
            </a:gsLst>
            <a:lin ang="0" scaled="1"/>
          </a:gradFill>
          <a:ln w="9525">
            <a:solidFill>
              <a:srgbClr val="000000"/>
            </a:solidFill>
            <a:miter lim="800000"/>
            <a:headEnd/>
            <a:tailEnd/>
          </a:ln>
        </xdr:spPr>
        <xdr:txBody>
          <a:bodyPr vertOverflow="clip" wrap="square" lIns="91440" tIns="45720" rIns="91440" bIns="45720" anchor="t" upright="1"/>
          <a:lstStyle/>
          <a:p>
            <a:pPr algn="l" rtl="0">
              <a:lnSpc>
                <a:spcPts val="1300"/>
              </a:lnSpc>
              <a:defRPr sz="1000"/>
            </a:pPr>
            <a:endParaRPr lang="en-US" sz="1200" b="0" i="0" u="none" strike="noStrike" baseline="0">
              <a:solidFill>
                <a:srgbClr val="000000"/>
              </a:solidFill>
              <a:latin typeface="Times New Roman"/>
              <a:cs typeface="Times New Roman"/>
            </a:endParaRPr>
          </a:p>
          <a:p>
            <a:pPr algn="l" rtl="0">
              <a:lnSpc>
                <a:spcPts val="1200"/>
              </a:lnSpc>
              <a:defRPr sz="1000"/>
            </a:pPr>
            <a:endParaRPr lang="en-US" sz="1200" b="0" i="0" u="none" strike="noStrike" baseline="0">
              <a:solidFill>
                <a:srgbClr val="000000"/>
              </a:solidFill>
              <a:latin typeface="Times New Roman"/>
              <a:cs typeface="Times New Roman"/>
            </a:endParaRPr>
          </a:p>
        </xdr:txBody>
      </xdr:sp>
      <xdr:sp macro="" textlink="">
        <xdr:nvSpPr>
          <xdr:cNvPr id="10" name="Freeform 599">
            <a:extLst>
              <a:ext uri="{FF2B5EF4-FFF2-40B4-BE49-F238E27FC236}">
                <a16:creationId xmlns:a16="http://schemas.microsoft.com/office/drawing/2014/main" id="{00000000-0008-0000-0100-00000A000000}"/>
              </a:ext>
            </a:extLst>
          </xdr:cNvPr>
          <xdr:cNvSpPr>
            <a:spLocks/>
          </xdr:cNvSpPr>
        </xdr:nvSpPr>
        <xdr:spPr bwMode="auto">
          <a:xfrm rot="10800000">
            <a:off x="2160" y="3125"/>
            <a:ext cx="419" cy="70"/>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11" name="Freeform 600">
            <a:extLst>
              <a:ext uri="{FF2B5EF4-FFF2-40B4-BE49-F238E27FC236}">
                <a16:creationId xmlns:a16="http://schemas.microsoft.com/office/drawing/2014/main" id="{00000000-0008-0000-0100-00000B000000}"/>
              </a:ext>
            </a:extLst>
          </xdr:cNvPr>
          <xdr:cNvSpPr>
            <a:spLocks/>
          </xdr:cNvSpPr>
        </xdr:nvSpPr>
        <xdr:spPr bwMode="auto">
          <a:xfrm>
            <a:off x="2160" y="1800"/>
            <a:ext cx="419" cy="70"/>
          </a:xfrm>
          <a:custGeom>
            <a:avLst/>
            <a:gdLst>
              <a:gd name="T0" fmla="*/ 0 w 51"/>
              <a:gd name="T1" fmla="*/ 2147483647 h 3"/>
              <a:gd name="T2" fmla="*/ 2147483647 w 51"/>
              <a:gd name="T3" fmla="*/ 0 h 3"/>
              <a:gd name="T4" fmla="*/ 2147483647 w 51"/>
              <a:gd name="T5" fmla="*/ 0 h 3"/>
              <a:gd name="T6" fmla="*/ 2147483647 w 51"/>
              <a:gd name="T7" fmla="*/ 2147483647 h 3"/>
              <a:gd name="T8" fmla="*/ 0 w 51"/>
              <a:gd name="T9" fmla="*/ 2147483647 h 3"/>
              <a:gd name="T10" fmla="*/ 0 60000 65536"/>
              <a:gd name="T11" fmla="*/ 0 60000 65536"/>
              <a:gd name="T12" fmla="*/ 0 60000 65536"/>
              <a:gd name="T13" fmla="*/ 0 60000 65536"/>
              <a:gd name="T14" fmla="*/ 0 60000 65536"/>
              <a:gd name="T15" fmla="*/ 0 w 51"/>
              <a:gd name="T16" fmla="*/ 0 h 3"/>
              <a:gd name="T17" fmla="*/ 51 w 51"/>
              <a:gd name="T18" fmla="*/ 3 h 3"/>
            </a:gdLst>
            <a:ahLst/>
            <a:cxnLst>
              <a:cxn ang="T10">
                <a:pos x="T0" y="T1"/>
              </a:cxn>
              <a:cxn ang="T11">
                <a:pos x="T2" y="T3"/>
              </a:cxn>
              <a:cxn ang="T12">
                <a:pos x="T4" y="T5"/>
              </a:cxn>
              <a:cxn ang="T13">
                <a:pos x="T6" y="T7"/>
              </a:cxn>
              <a:cxn ang="T14">
                <a:pos x="T8" y="T9"/>
              </a:cxn>
            </a:cxnLst>
            <a:rect l="T15" t="T16" r="T17" b="T18"/>
            <a:pathLst>
              <a:path w="51" h="3">
                <a:moveTo>
                  <a:pt x="0" y="3"/>
                </a:moveTo>
                <a:lnTo>
                  <a:pt x="4" y="0"/>
                </a:lnTo>
                <a:lnTo>
                  <a:pt x="47" y="0"/>
                </a:lnTo>
                <a:lnTo>
                  <a:pt x="51" y="3"/>
                </a:lnTo>
                <a:lnTo>
                  <a:pt x="0" y="3"/>
                </a:lnTo>
                <a:close/>
              </a:path>
            </a:pathLst>
          </a:custGeom>
          <a:gradFill rotWithShape="0">
            <a:gsLst>
              <a:gs pos="0">
                <a:srgbClr val="760000"/>
              </a:gs>
              <a:gs pos="50000">
                <a:srgbClr val="FF0000"/>
              </a:gs>
              <a:gs pos="100000">
                <a:srgbClr val="760000"/>
              </a:gs>
            </a:gsLst>
            <a:lin ang="0" scaled="1"/>
          </a:gradFill>
          <a:ln w="9525">
            <a:solidFill>
              <a:srgbClr val="000000"/>
            </a:solidFill>
            <a:round/>
            <a:headEnd/>
            <a:tailEnd/>
          </a:ln>
        </xdr:spPr>
      </xdr:sp>
      <xdr:sp macro="" textlink="">
        <xdr:nvSpPr>
          <xdr:cNvPr id="12" name="Rectangle 607">
            <a:extLst>
              <a:ext uri="{FF2B5EF4-FFF2-40B4-BE49-F238E27FC236}">
                <a16:creationId xmlns:a16="http://schemas.microsoft.com/office/drawing/2014/main" id="{00000000-0008-0000-0100-00000C000000}"/>
              </a:ext>
            </a:extLst>
          </xdr:cNvPr>
          <xdr:cNvSpPr>
            <a:spLocks noChangeArrowheads="1"/>
          </xdr:cNvSpPr>
        </xdr:nvSpPr>
        <xdr:spPr bwMode="auto">
          <a:xfrm>
            <a:off x="235172226168" y="8124825"/>
            <a:ext cx="39" cy="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13" name="Rectangle 608">
            <a:extLst>
              <a:ext uri="{FF2B5EF4-FFF2-40B4-BE49-F238E27FC236}">
                <a16:creationId xmlns:a16="http://schemas.microsoft.com/office/drawing/2014/main" id="{00000000-0008-0000-0100-00000D000000}"/>
              </a:ext>
            </a:extLst>
          </xdr:cNvPr>
          <xdr:cNvSpPr>
            <a:spLocks noChangeArrowheads="1"/>
          </xdr:cNvSpPr>
        </xdr:nvSpPr>
        <xdr:spPr bwMode="auto">
          <a:xfrm>
            <a:off x="161660728862" y="8124825"/>
            <a:ext cx="26" cy="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14" name="Rectangle 609">
            <a:extLst>
              <a:ext uri="{FF2B5EF4-FFF2-40B4-BE49-F238E27FC236}">
                <a16:creationId xmlns:a16="http://schemas.microsoft.com/office/drawing/2014/main" id="{00000000-0008-0000-0100-00000E000000}"/>
              </a:ext>
            </a:extLst>
          </xdr:cNvPr>
          <xdr:cNvSpPr>
            <a:spLocks noChangeArrowheads="1"/>
          </xdr:cNvSpPr>
        </xdr:nvSpPr>
        <xdr:spPr bwMode="auto">
          <a:xfrm>
            <a:off x="-23914679457" y="8124825"/>
            <a:ext cx="39" cy="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15" name="Rectangle 610">
            <a:extLst>
              <a:ext uri="{FF2B5EF4-FFF2-40B4-BE49-F238E27FC236}">
                <a16:creationId xmlns:a16="http://schemas.microsoft.com/office/drawing/2014/main" id="{00000000-0008-0000-0100-00000F000000}"/>
              </a:ext>
            </a:extLst>
          </xdr:cNvPr>
          <xdr:cNvSpPr>
            <a:spLocks noChangeArrowheads="1"/>
          </xdr:cNvSpPr>
        </xdr:nvSpPr>
        <xdr:spPr bwMode="auto">
          <a:xfrm>
            <a:off x="784751043499" y="8124825"/>
            <a:ext cx="52" cy="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16" name="Rectangle 611">
            <a:extLst>
              <a:ext uri="{FF2B5EF4-FFF2-40B4-BE49-F238E27FC236}">
                <a16:creationId xmlns:a16="http://schemas.microsoft.com/office/drawing/2014/main" id="{00000000-0008-0000-0100-000010000000}"/>
              </a:ext>
            </a:extLst>
          </xdr:cNvPr>
          <xdr:cNvSpPr>
            <a:spLocks noChangeArrowheads="1"/>
          </xdr:cNvSpPr>
        </xdr:nvSpPr>
        <xdr:spPr bwMode="auto">
          <a:xfrm>
            <a:off x="544041187112" y="8124825"/>
            <a:ext cx="26" cy="0"/>
          </a:xfrm>
          <a:prstGeom prst="rect">
            <a:avLst/>
          </a:prstGeom>
          <a:gradFill rotWithShape="0">
            <a:gsLst>
              <a:gs pos="0">
                <a:srgbClr val="595959"/>
              </a:gs>
              <a:gs pos="50000">
                <a:srgbClr val="C0C0C0"/>
              </a:gs>
              <a:gs pos="100000">
                <a:srgbClr val="595959"/>
              </a:gs>
            </a:gsLst>
            <a:lin ang="0" scaled="1"/>
          </a:gradFill>
          <a:ln w="9525">
            <a:solidFill>
              <a:srgbClr val="000000"/>
            </a:solidFill>
            <a:miter lim="800000"/>
            <a:headEnd/>
            <a:tailEnd/>
          </a:ln>
        </xdr:spPr>
        <xdr:txBody>
          <a:bodyPr vertOverflow="clip" wrap="square" lIns="91440" tIns="45720" rIns="91440" bIns="4572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sp macro="" textlink="">
        <xdr:nvSpPr>
          <xdr:cNvPr id="17" name="Oval 606">
            <a:extLst>
              <a:ext uri="{FF2B5EF4-FFF2-40B4-BE49-F238E27FC236}">
                <a16:creationId xmlns:a16="http://schemas.microsoft.com/office/drawing/2014/main" id="{00000000-0008-0000-0100-000011000000}"/>
              </a:ext>
            </a:extLst>
          </xdr:cNvPr>
          <xdr:cNvSpPr>
            <a:spLocks noChangeArrowheads="1"/>
          </xdr:cNvSpPr>
        </xdr:nvSpPr>
        <xdr:spPr bwMode="auto">
          <a:xfrm rot="10800000" flipV="1">
            <a:off x="-211809915871" y="8124825"/>
            <a:ext cx="167" cy="0"/>
          </a:xfrm>
          <a:prstGeom prst="ellipse">
            <a:avLst/>
          </a:prstGeom>
          <a:gradFill rotWithShape="0">
            <a:gsLst>
              <a:gs pos="0">
                <a:srgbClr val="FFFFFF"/>
              </a:gs>
              <a:gs pos="100000">
                <a:srgbClr val="767676"/>
              </a:gs>
            </a:gsLst>
            <a:path path="shape">
              <a:fillToRect l="50000" t="50000" r="50000" b="50000"/>
            </a:path>
          </a:gradFill>
          <a:ln w="3175">
            <a:solidFill>
              <a:srgbClr val="000000"/>
            </a:solidFill>
            <a:round/>
            <a:headEnd/>
            <a:tailEnd/>
          </a:ln>
        </xdr:spPr>
        <xdr:txBody>
          <a:bodyPr vertOverflow="clip" wrap="square" lIns="91440" tIns="45720" rIns="91440" bIns="45720" anchor="t" upright="1"/>
          <a:lstStyle/>
          <a:p>
            <a:pPr algn="l" rtl="0">
              <a:lnSpc>
                <a:spcPts val="1100"/>
              </a:lnSpc>
              <a:defRPr sz="1000"/>
            </a:pPr>
            <a:endParaRPr lang="en-US" sz="1200" b="0" i="0" u="none" strike="noStrike" baseline="0">
              <a:solidFill>
                <a:srgbClr val="000000"/>
              </a:solidFill>
              <a:latin typeface="Times New Roman"/>
              <a:cs typeface="Times New Roman"/>
            </a:endParaRPr>
          </a:p>
          <a:p>
            <a:pPr algn="l" rtl="0">
              <a:lnSpc>
                <a:spcPts val="1100"/>
              </a:lnSpc>
              <a:defRPr sz="1000"/>
            </a:pPr>
            <a:endParaRPr lang="en-US" sz="1200" b="0" i="0" u="none" strike="noStrike" baseline="0">
              <a:solidFill>
                <a:srgbClr val="000000"/>
              </a:solidFill>
              <a:latin typeface="Times New Roman"/>
              <a:cs typeface="Times New Roman"/>
            </a:endParaRPr>
          </a:p>
        </xdr:txBody>
      </xdr:sp>
      <xdr:grpSp>
        <xdr:nvGrpSpPr>
          <xdr:cNvPr id="18" name="Group 1374">
            <a:extLst>
              <a:ext uri="{FF2B5EF4-FFF2-40B4-BE49-F238E27FC236}">
                <a16:creationId xmlns:a16="http://schemas.microsoft.com/office/drawing/2014/main" id="{00000000-0008-0000-0100-000012000000}"/>
              </a:ext>
            </a:extLst>
          </xdr:cNvPr>
          <xdr:cNvGrpSpPr>
            <a:grpSpLocks/>
          </xdr:cNvGrpSpPr>
        </xdr:nvGrpSpPr>
        <xdr:grpSpPr bwMode="auto">
          <a:xfrm>
            <a:off x="2155" y="2474"/>
            <a:ext cx="384" cy="31"/>
            <a:chOff x="1419" y="1540"/>
            <a:chExt cx="336" cy="27"/>
          </a:xfrm>
        </xdr:grpSpPr>
        <xdr:sp macro="" textlink="">
          <xdr:nvSpPr>
            <xdr:cNvPr id="19" name="Oval 1375">
              <a:extLst>
                <a:ext uri="{FF2B5EF4-FFF2-40B4-BE49-F238E27FC236}">
                  <a16:creationId xmlns:a16="http://schemas.microsoft.com/office/drawing/2014/main" id="{00000000-0008-0000-0100-000013000000}"/>
                </a:ext>
              </a:extLst>
            </xdr:cNvPr>
            <xdr:cNvSpPr>
              <a:spLocks noChangeArrowheads="1"/>
            </xdr:cNvSpPr>
          </xdr:nvSpPr>
          <xdr:spPr bwMode="auto">
            <a:xfrm>
              <a:off x="1573" y="1540"/>
              <a:ext cx="28" cy="27"/>
            </a:xfrm>
            <a:prstGeom prst="ellipse">
              <a:avLst/>
            </a:prstGeom>
            <a:solidFill>
              <a:srgbClr val="FFFFFF"/>
            </a:solidFill>
            <a:ln w="9525">
              <a:solidFill>
                <a:srgbClr val="000000"/>
              </a:solidFill>
              <a:round/>
              <a:headEnd/>
              <a:tailEnd/>
            </a:ln>
          </xdr:spPr>
        </xdr:sp>
        <xdr:sp macro="" textlink="">
          <xdr:nvSpPr>
            <xdr:cNvPr id="20" name="Oval 1376">
              <a:extLst>
                <a:ext uri="{FF2B5EF4-FFF2-40B4-BE49-F238E27FC236}">
                  <a16:creationId xmlns:a16="http://schemas.microsoft.com/office/drawing/2014/main" id="{00000000-0008-0000-0100-000014000000}"/>
                </a:ext>
              </a:extLst>
            </xdr:cNvPr>
            <xdr:cNvSpPr>
              <a:spLocks noChangeArrowheads="1"/>
            </xdr:cNvSpPr>
          </xdr:nvSpPr>
          <xdr:spPr bwMode="auto">
            <a:xfrm>
              <a:off x="1727" y="1540"/>
              <a:ext cx="28" cy="27"/>
            </a:xfrm>
            <a:prstGeom prst="ellipse">
              <a:avLst/>
            </a:prstGeom>
            <a:solidFill>
              <a:srgbClr val="FFFFFF"/>
            </a:solidFill>
            <a:ln w="9525">
              <a:solidFill>
                <a:srgbClr val="000000"/>
              </a:solidFill>
              <a:round/>
              <a:headEnd/>
              <a:tailEnd/>
            </a:ln>
          </xdr:spPr>
        </xdr:sp>
        <xdr:sp macro="" textlink="">
          <xdr:nvSpPr>
            <xdr:cNvPr id="21" name="Oval 1377">
              <a:extLst>
                <a:ext uri="{FF2B5EF4-FFF2-40B4-BE49-F238E27FC236}">
                  <a16:creationId xmlns:a16="http://schemas.microsoft.com/office/drawing/2014/main" id="{00000000-0008-0000-0100-000015000000}"/>
                </a:ext>
              </a:extLst>
            </xdr:cNvPr>
            <xdr:cNvSpPr>
              <a:spLocks noChangeArrowheads="1"/>
            </xdr:cNvSpPr>
          </xdr:nvSpPr>
          <xdr:spPr bwMode="auto">
            <a:xfrm>
              <a:off x="1419" y="1540"/>
              <a:ext cx="28" cy="27"/>
            </a:xfrm>
            <a:prstGeom prst="ellipse">
              <a:avLst/>
            </a:prstGeom>
            <a:solidFill>
              <a:srgbClr val="FFFFFF"/>
            </a:solidFill>
            <a:ln w="9525">
              <a:solidFill>
                <a:srgbClr val="000000"/>
              </a:solidFill>
              <a:round/>
              <a:headEnd/>
              <a:tailEnd/>
            </a:ln>
          </xdr:spPr>
        </xdr:sp>
      </xdr:grpSp>
    </xdr:grpSp>
    <xdr:clientData/>
  </xdr:twoCellAnchor>
  <xdr:twoCellAnchor editAs="oneCell">
    <xdr:from>
      <xdr:col>11</xdr:col>
      <xdr:colOff>342899</xdr:colOff>
      <xdr:row>0</xdr:row>
      <xdr:rowOff>47624</xdr:rowOff>
    </xdr:from>
    <xdr:to>
      <xdr:col>15</xdr:col>
      <xdr:colOff>2721</xdr:colOff>
      <xdr:row>2</xdr:row>
      <xdr:rowOff>166609</xdr:rowOff>
    </xdr:to>
    <xdr:pic>
      <xdr:nvPicPr>
        <xdr:cNvPr id="22" name="Picture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2587" y="47624"/>
          <a:ext cx="2422525" cy="365048"/>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17</xdr:col>
      <xdr:colOff>57151</xdr:colOff>
      <xdr:row>17</xdr:row>
      <xdr:rowOff>114300</xdr:rowOff>
    </xdr:from>
    <xdr:to>
      <xdr:col>22</xdr:col>
      <xdr:colOff>371475</xdr:colOff>
      <xdr:row>73</xdr:row>
      <xdr:rowOff>142876</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56964" y="4146550"/>
          <a:ext cx="3529012" cy="6132513"/>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25</xdr:col>
      <xdr:colOff>123825</xdr:colOff>
      <xdr:row>13</xdr:row>
      <xdr:rowOff>47625</xdr:rowOff>
    </xdr:from>
    <xdr:to>
      <xdr:col>31</xdr:col>
      <xdr:colOff>333375</xdr:colOff>
      <xdr:row>67</xdr:row>
      <xdr:rowOff>123825</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00425" y="3114675"/>
          <a:ext cx="4057650" cy="55753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21</xdr:col>
      <xdr:colOff>123825</xdr:colOff>
      <xdr:row>34</xdr:row>
      <xdr:rowOff>76200</xdr:rowOff>
    </xdr:from>
    <xdr:to>
      <xdr:col>21</xdr:col>
      <xdr:colOff>447675</xdr:colOff>
      <xdr:row>35</xdr:row>
      <xdr:rowOff>134938</xdr:rowOff>
    </xdr:to>
    <xdr:sp macro="" textlink="">
      <xdr:nvSpPr>
        <xdr:cNvPr id="25" name="Oval 24">
          <a:extLst>
            <a:ext uri="{FF2B5EF4-FFF2-40B4-BE49-F238E27FC236}">
              <a16:creationId xmlns:a16="http://schemas.microsoft.com/office/drawing/2014/main" id="{00000000-0008-0000-0100-000019000000}"/>
            </a:ext>
          </a:extLst>
        </xdr:cNvPr>
        <xdr:cNvSpPr/>
      </xdr:nvSpPr>
      <xdr:spPr>
        <a:xfrm>
          <a:off x="13895388" y="4870450"/>
          <a:ext cx="323850" cy="29686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a:t>
          </a:r>
        </a:p>
      </xdr:txBody>
    </xdr:sp>
    <xdr:clientData/>
  </xdr:twoCellAnchor>
  <xdr:twoCellAnchor>
    <xdr:from>
      <xdr:col>18</xdr:col>
      <xdr:colOff>266700</xdr:colOff>
      <xdr:row>34</xdr:row>
      <xdr:rowOff>180975</xdr:rowOff>
    </xdr:from>
    <xdr:to>
      <xdr:col>18</xdr:col>
      <xdr:colOff>590550</xdr:colOff>
      <xdr:row>35</xdr:row>
      <xdr:rowOff>0</xdr:rowOff>
    </xdr:to>
    <xdr:sp macro="" textlink="">
      <xdr:nvSpPr>
        <xdr:cNvPr id="26" name="Oval 25">
          <a:extLst>
            <a:ext uri="{FF2B5EF4-FFF2-40B4-BE49-F238E27FC236}">
              <a16:creationId xmlns:a16="http://schemas.microsoft.com/office/drawing/2014/main" id="{00000000-0008-0000-0100-00001A000000}"/>
            </a:ext>
          </a:extLst>
        </xdr:cNvPr>
        <xdr:cNvSpPr/>
      </xdr:nvSpPr>
      <xdr:spPr>
        <a:xfrm>
          <a:off x="12153900" y="5000625"/>
          <a:ext cx="323850" cy="5397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p>
      </xdr:txBody>
    </xdr:sp>
    <xdr:clientData/>
  </xdr:twoCellAnchor>
  <xdr:twoCellAnchor>
    <xdr:from>
      <xdr:col>21</xdr:col>
      <xdr:colOff>114300</xdr:colOff>
      <xdr:row>17</xdr:row>
      <xdr:rowOff>180975</xdr:rowOff>
    </xdr:from>
    <xdr:to>
      <xdr:col>21</xdr:col>
      <xdr:colOff>438150</xdr:colOff>
      <xdr:row>19</xdr:row>
      <xdr:rowOff>76200</xdr:rowOff>
    </xdr:to>
    <xdr:sp macro="" textlink="">
      <xdr:nvSpPr>
        <xdr:cNvPr id="27" name="Oval 26">
          <a:extLst>
            <a:ext uri="{FF2B5EF4-FFF2-40B4-BE49-F238E27FC236}">
              <a16:creationId xmlns:a16="http://schemas.microsoft.com/office/drawing/2014/main" id="{00000000-0008-0000-0100-00001B000000}"/>
            </a:ext>
          </a:extLst>
        </xdr:cNvPr>
        <xdr:cNvSpPr/>
      </xdr:nvSpPr>
      <xdr:spPr>
        <a:xfrm>
          <a:off x="13925550" y="4086225"/>
          <a:ext cx="323850" cy="30162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a:t>
          </a:r>
        </a:p>
      </xdr:txBody>
    </xdr:sp>
    <xdr:clientData/>
  </xdr:twoCellAnchor>
  <xdr:twoCellAnchor editAs="oneCell">
    <xdr:from>
      <xdr:col>1</xdr:col>
      <xdr:colOff>57151</xdr:colOff>
      <xdr:row>35</xdr:row>
      <xdr:rowOff>114300</xdr:rowOff>
    </xdr:from>
    <xdr:to>
      <xdr:col>1</xdr:col>
      <xdr:colOff>400050</xdr:colOff>
      <xdr:row>41</xdr:row>
      <xdr:rowOff>171278</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4"/>
        <a:stretch>
          <a:fillRect/>
        </a:stretch>
      </xdr:blipFill>
      <xdr:spPr>
        <a:xfrm>
          <a:off x="139701" y="5168900"/>
          <a:ext cx="342899" cy="1276179"/>
        </a:xfrm>
        <a:prstGeom prst="rect">
          <a:avLst/>
        </a:prstGeom>
      </xdr:spPr>
    </xdr:pic>
    <xdr:clientData/>
  </xdr:twoCellAnchor>
  <xdr:twoCellAnchor editAs="oneCell">
    <xdr:from>
      <xdr:col>1</xdr:col>
      <xdr:colOff>85726</xdr:colOff>
      <xdr:row>15</xdr:row>
      <xdr:rowOff>114300</xdr:rowOff>
    </xdr:from>
    <xdr:to>
      <xdr:col>1</xdr:col>
      <xdr:colOff>381000</xdr:colOff>
      <xdr:row>19</xdr:row>
      <xdr:rowOff>0</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5"/>
        <a:stretch>
          <a:fillRect/>
        </a:stretch>
      </xdr:blipFill>
      <xdr:spPr>
        <a:xfrm>
          <a:off x="168276" y="3613150"/>
          <a:ext cx="295274" cy="698500"/>
        </a:xfrm>
        <a:prstGeom prst="rect">
          <a:avLst/>
        </a:prstGeom>
      </xdr:spPr>
    </xdr:pic>
    <xdr:clientData/>
  </xdr:twoCellAnchor>
  <xdr:twoCellAnchor editAs="oneCell">
    <xdr:from>
      <xdr:col>1</xdr:col>
      <xdr:colOff>47626</xdr:colOff>
      <xdr:row>59</xdr:row>
      <xdr:rowOff>85725</xdr:rowOff>
    </xdr:from>
    <xdr:to>
      <xdr:col>1</xdr:col>
      <xdr:colOff>371476</xdr:colOff>
      <xdr:row>65</xdr:row>
      <xdr:rowOff>104776</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6"/>
        <a:stretch>
          <a:fillRect/>
        </a:stretch>
      </xdr:blipFill>
      <xdr:spPr>
        <a:xfrm>
          <a:off x="130176" y="7038975"/>
          <a:ext cx="323850" cy="1238250"/>
        </a:xfrm>
        <a:prstGeom prst="rect">
          <a:avLst/>
        </a:prstGeom>
      </xdr:spPr>
    </xdr:pic>
    <xdr:clientData/>
  </xdr:twoCellAnchor>
  <xdr:twoCellAnchor editAs="oneCell">
    <xdr:from>
      <xdr:col>1</xdr:col>
      <xdr:colOff>19051</xdr:colOff>
      <xdr:row>78</xdr:row>
      <xdr:rowOff>114300</xdr:rowOff>
    </xdr:from>
    <xdr:to>
      <xdr:col>1</xdr:col>
      <xdr:colOff>361950</xdr:colOff>
      <xdr:row>82</xdr:row>
      <xdr:rowOff>123825</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7"/>
        <a:stretch>
          <a:fillRect/>
        </a:stretch>
      </xdr:blipFill>
      <xdr:spPr>
        <a:xfrm>
          <a:off x="101601" y="10807700"/>
          <a:ext cx="342899" cy="822325"/>
        </a:xfrm>
        <a:prstGeom prst="rect">
          <a:avLst/>
        </a:prstGeom>
      </xdr:spPr>
    </xdr:pic>
    <xdr:clientData/>
  </xdr:twoCellAnchor>
  <xdr:twoCellAnchor editAs="oneCell">
    <xdr:from>
      <xdr:col>1</xdr:col>
      <xdr:colOff>9526</xdr:colOff>
      <xdr:row>89</xdr:row>
      <xdr:rowOff>76200</xdr:rowOff>
    </xdr:from>
    <xdr:to>
      <xdr:col>1</xdr:col>
      <xdr:colOff>560290</xdr:colOff>
      <xdr:row>95</xdr:row>
      <xdr:rowOff>66675</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8"/>
        <a:stretch>
          <a:fillRect/>
        </a:stretch>
      </xdr:blipFill>
      <xdr:spPr>
        <a:xfrm>
          <a:off x="88901" y="12292013"/>
          <a:ext cx="550764" cy="1181100"/>
        </a:xfrm>
        <a:prstGeom prst="rect">
          <a:avLst/>
        </a:prstGeom>
      </xdr:spPr>
    </xdr:pic>
    <xdr:clientData/>
  </xdr:twoCellAnchor>
  <xdr:oneCellAnchor>
    <xdr:from>
      <xdr:col>1</xdr:col>
      <xdr:colOff>19051</xdr:colOff>
      <xdr:row>68</xdr:row>
      <xdr:rowOff>114299</xdr:rowOff>
    </xdr:from>
    <xdr:ext cx="361949" cy="828537"/>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9"/>
        <a:stretch>
          <a:fillRect/>
        </a:stretch>
      </xdr:blipFill>
      <xdr:spPr>
        <a:xfrm>
          <a:off x="101601" y="8909049"/>
          <a:ext cx="361949" cy="82853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Documents%20and%20Settings\hba7624\My%20Documents\Customers\Petronas\Sepat%203%20DST%20Malaysia%20Dec%2005\Reports\ATS%20Gauge%20Report%20(3%20Gauge).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20Phase%20Fardux%20Field%20Repor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
      <sheetName val="Report Cover Page"/>
      <sheetName val="Index"/>
      <sheetName val="ATS Report"/>
      <sheetName val="Gauge Data"/>
      <sheetName val="Joblog Sheet"/>
      <sheetName val="Joblog Data"/>
      <sheetName val="Gauge 1 Plot"/>
      <sheetName val="Gauge 2 Plot"/>
      <sheetName val="Gauge 3 Plot"/>
      <sheetName val="Gauge Overlay"/>
      <sheetName val="DELROW"/>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etup Sheet"/>
      <sheetName val="Well Test Sheet"/>
      <sheetName val="Test Data"/>
      <sheetName val="Gas Flow Sheet"/>
      <sheetName val="Gas Data"/>
      <sheetName val="Liq Flow Sheet"/>
      <sheetName val="Liq Data"/>
      <sheetName val="Joblog Sheet"/>
      <sheetName val="Joblog Data"/>
      <sheetName val="Wellhead Plot"/>
      <sheetName val="Separator Plot"/>
      <sheetName val="Production Plot"/>
      <sheetName val="Production Ratio's"/>
      <sheetName val="Cummulatives"/>
      <sheetName val="Macro's"/>
      <sheetName val="Scale Graphs"/>
      <sheetName val="Module9"/>
      <sheetName val="Module1"/>
      <sheetName val="3 Phase Fardux Field Report1"/>
      <sheetName val="Input Data"/>
      <sheetName val="Tally"/>
      <sheetName val="Report Long(Esso)"/>
      <sheetName val="Operating LPR OMNI"/>
      <sheetName val="General Ref"/>
      <sheetName val="Formation"/>
      <sheetName val="Data"/>
      <sheetName val="Wireline"/>
      <sheetName val="Mang-073-FM-2"/>
      <sheetName val="Page06_Data"/>
      <sheetName val="Page01_Cover"/>
      <sheetName val="Test_Data"/>
      <sheetName val="statoil"/>
      <sheetName val="受入"/>
      <sheetName val="Sheet1"/>
      <sheetName val="JOBPROCD"/>
    </sheetNames>
    <sheetDataSet>
      <sheetData sheetId="0" refreshError="1"/>
      <sheetData sheetId="1" refreshError="1"/>
      <sheetData sheetId="2" refreshError="1"/>
      <sheetData sheetId="3" refreshError="1">
        <row r="8">
          <cell r="T8">
            <v>10</v>
          </cell>
        </row>
        <row r="9">
          <cell r="T9">
            <v>10</v>
          </cell>
        </row>
        <row r="10">
          <cell r="T10">
            <v>10</v>
          </cell>
        </row>
        <row r="11">
          <cell r="T11">
            <v>10</v>
          </cell>
        </row>
        <row r="12">
          <cell r="T12">
            <v>10</v>
          </cell>
        </row>
        <row r="13">
          <cell r="T13">
            <v>10</v>
          </cell>
        </row>
        <row r="14">
          <cell r="T14">
            <v>10</v>
          </cell>
        </row>
        <row r="15">
          <cell r="T15">
            <v>10</v>
          </cell>
        </row>
        <row r="16">
          <cell r="T16">
            <v>10</v>
          </cell>
        </row>
        <row r="18">
          <cell r="T18">
            <v>10</v>
          </cell>
        </row>
        <row r="19">
          <cell r="T19">
            <v>10</v>
          </cell>
        </row>
        <row r="20">
          <cell r="T20">
            <v>10</v>
          </cell>
        </row>
        <row r="21">
          <cell r="T21">
            <v>10</v>
          </cell>
        </row>
        <row r="22">
          <cell r="T22">
            <v>10</v>
          </cell>
        </row>
        <row r="23">
          <cell r="T23">
            <v>10</v>
          </cell>
        </row>
        <row r="24">
          <cell r="T24">
            <v>10</v>
          </cell>
        </row>
        <row r="25">
          <cell r="T25">
            <v>10</v>
          </cell>
        </row>
        <row r="26">
          <cell r="T26">
            <v>10</v>
          </cell>
        </row>
        <row r="27">
          <cell r="T27">
            <v>10</v>
          </cell>
        </row>
        <row r="28">
          <cell r="T28">
            <v>10</v>
          </cell>
        </row>
        <row r="29">
          <cell r="T29">
            <v>10</v>
          </cell>
        </row>
        <row r="30">
          <cell r="T30">
            <v>10</v>
          </cell>
        </row>
        <row r="31">
          <cell r="T31">
            <v>10</v>
          </cell>
        </row>
        <row r="32">
          <cell r="T32">
            <v>10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pageSetUpPr fitToPage="1"/>
  </sheetPr>
  <dimension ref="A1:AC173"/>
  <sheetViews>
    <sheetView showGridLines="0" tabSelected="1" view="pageBreakPreview" zoomScale="70" zoomScaleNormal="70" zoomScaleSheetLayoutView="70" zoomScalePageLayoutView="50" workbookViewId="0">
      <selection activeCell="B2" sqref="B2:V2"/>
    </sheetView>
  </sheetViews>
  <sheetFormatPr defaultColWidth="8.77734375" defaultRowHeight="15.6" x14ac:dyDescent="0.25"/>
  <cols>
    <col min="1" max="1" width="8.77734375" style="1"/>
    <col min="2" max="2" width="19.44140625" style="116" customWidth="1"/>
    <col min="3" max="3" width="12.21875" style="116" customWidth="1"/>
    <col min="4" max="5" width="3.5546875" style="116" customWidth="1"/>
    <col min="6" max="6" width="7.44140625" style="116" customWidth="1"/>
    <col min="7" max="7" width="9.5546875" style="116" customWidth="1"/>
    <col min="8" max="8" width="7.44140625" style="116" customWidth="1"/>
    <col min="9" max="9" width="21.21875" style="117" customWidth="1"/>
    <col min="10" max="11" width="10.44140625" style="117" customWidth="1"/>
    <col min="12" max="12" width="13.44140625" style="117" customWidth="1"/>
    <col min="13" max="13" width="15.5546875" style="117" bestFit="1" customWidth="1"/>
    <col min="14" max="15" width="9.77734375" style="118" customWidth="1"/>
    <col min="16" max="16" width="10.5546875" style="118" customWidth="1"/>
    <col min="17" max="17" width="11.21875" style="119" customWidth="1"/>
    <col min="18" max="18" width="10.77734375" style="119" bestFit="1" customWidth="1"/>
    <col min="19" max="20" width="10.44140625" style="1" hidden="1" customWidth="1"/>
    <col min="21" max="21" width="6.44140625" style="1" hidden="1" customWidth="1"/>
    <col min="22" max="22" width="7.77734375" style="1" customWidth="1"/>
    <col min="23" max="23" width="10" style="1" bestFit="1" customWidth="1"/>
    <col min="24" max="16384" width="8.77734375" style="1"/>
  </cols>
  <sheetData>
    <row r="1" spans="2:23" ht="16.2" thickBot="1" x14ac:dyDescent="0.3"/>
    <row r="2" spans="2:23" ht="27" customHeight="1" thickBot="1" x14ac:dyDescent="0.3">
      <c r="B2" s="503" t="s">
        <v>234</v>
      </c>
      <c r="C2" s="504"/>
      <c r="D2" s="504"/>
      <c r="E2" s="504"/>
      <c r="F2" s="504"/>
      <c r="G2" s="504"/>
      <c r="H2" s="504"/>
      <c r="I2" s="504"/>
      <c r="J2" s="504"/>
      <c r="K2" s="504"/>
      <c r="L2" s="504"/>
      <c r="M2" s="504"/>
      <c r="N2" s="504"/>
      <c r="O2" s="504"/>
      <c r="P2" s="504"/>
      <c r="Q2" s="504"/>
      <c r="R2" s="504"/>
      <c r="S2" s="504"/>
      <c r="T2" s="504"/>
      <c r="U2" s="504"/>
      <c r="V2" s="505"/>
    </row>
    <row r="3" spans="2:23" ht="18" customHeight="1" x14ac:dyDescent="0.25">
      <c r="B3" s="506"/>
      <c r="C3" s="507"/>
      <c r="D3" s="507"/>
      <c r="E3" s="507"/>
      <c r="F3" s="507"/>
      <c r="G3" s="508"/>
      <c r="H3" s="515" t="s">
        <v>0</v>
      </c>
      <c r="I3" s="515"/>
      <c r="J3" s="516" t="s">
        <v>1</v>
      </c>
      <c r="K3" s="516"/>
      <c r="L3" s="270" t="s">
        <v>2</v>
      </c>
      <c r="M3" s="516" t="s">
        <v>241</v>
      </c>
      <c r="N3" s="516"/>
      <c r="O3" s="517" t="s">
        <v>3</v>
      </c>
      <c r="P3" s="518"/>
      <c r="Q3" s="519"/>
      <c r="R3" s="520"/>
      <c r="S3" s="520"/>
      <c r="T3" s="520"/>
      <c r="U3" s="520"/>
      <c r="V3" s="319"/>
    </row>
    <row r="4" spans="2:23" ht="18" customHeight="1" x14ac:dyDescent="0.25">
      <c r="B4" s="509"/>
      <c r="C4" s="510"/>
      <c r="D4" s="510"/>
      <c r="E4" s="510"/>
      <c r="F4" s="510"/>
      <c r="G4" s="511"/>
      <c r="H4" s="525" t="s">
        <v>4</v>
      </c>
      <c r="I4" s="525"/>
      <c r="J4" s="526" t="s">
        <v>201</v>
      </c>
      <c r="K4" s="526"/>
      <c r="L4" s="271" t="s">
        <v>5</v>
      </c>
      <c r="M4" s="526" t="s">
        <v>6</v>
      </c>
      <c r="N4" s="526"/>
      <c r="O4" s="527" t="s">
        <v>261</v>
      </c>
      <c r="P4" s="528"/>
      <c r="Q4" s="521"/>
      <c r="R4" s="522"/>
      <c r="S4" s="522"/>
      <c r="T4" s="522"/>
      <c r="U4" s="522"/>
      <c r="V4" s="320"/>
    </row>
    <row r="5" spans="2:23" ht="30" customHeight="1" thickBot="1" x14ac:dyDescent="0.3">
      <c r="B5" s="512"/>
      <c r="C5" s="513"/>
      <c r="D5" s="513"/>
      <c r="E5" s="513"/>
      <c r="F5" s="513"/>
      <c r="G5" s="514"/>
      <c r="H5" s="531" t="s">
        <v>7</v>
      </c>
      <c r="I5" s="531"/>
      <c r="J5" s="532" t="s">
        <v>200</v>
      </c>
      <c r="K5" s="532"/>
      <c r="L5" s="272" t="s">
        <v>8</v>
      </c>
      <c r="M5" s="533">
        <v>45046</v>
      </c>
      <c r="N5" s="534"/>
      <c r="O5" s="529"/>
      <c r="P5" s="530"/>
      <c r="Q5" s="523"/>
      <c r="R5" s="524"/>
      <c r="S5" s="524"/>
      <c r="T5" s="524"/>
      <c r="U5" s="524"/>
      <c r="V5" s="321"/>
    </row>
    <row r="6" spans="2:23" s="265" customFormat="1" ht="42.6" customHeight="1" thickBot="1" x14ac:dyDescent="0.35">
      <c r="B6" s="538"/>
      <c r="C6" s="540" t="s">
        <v>202</v>
      </c>
      <c r="D6" s="541"/>
      <c r="E6" s="541"/>
      <c r="F6" s="541"/>
      <c r="G6" s="541"/>
      <c r="H6" s="541"/>
      <c r="I6" s="542"/>
      <c r="J6" s="364" t="s">
        <v>264</v>
      </c>
      <c r="K6" s="258" t="s">
        <v>9</v>
      </c>
      <c r="L6" s="258" t="s">
        <v>10</v>
      </c>
      <c r="M6" s="258" t="s">
        <v>11</v>
      </c>
      <c r="N6" s="260" t="s">
        <v>12</v>
      </c>
      <c r="O6" s="260" t="s">
        <v>13</v>
      </c>
      <c r="P6" s="260" t="s">
        <v>14</v>
      </c>
      <c r="Q6" s="261" t="s">
        <v>199</v>
      </c>
      <c r="R6" s="261" t="s">
        <v>15</v>
      </c>
      <c r="S6" s="262"/>
      <c r="T6" s="263" t="s">
        <v>16</v>
      </c>
      <c r="U6" s="264" t="s">
        <v>17</v>
      </c>
      <c r="V6" s="322" t="s">
        <v>198</v>
      </c>
    </row>
    <row r="7" spans="2:23" ht="42" customHeight="1" x14ac:dyDescent="0.3">
      <c r="B7" s="539"/>
      <c r="C7" s="543" t="s">
        <v>18</v>
      </c>
      <c r="D7" s="543"/>
      <c r="E7" s="543"/>
      <c r="F7" s="543"/>
      <c r="G7" s="543"/>
      <c r="H7" s="543"/>
      <c r="I7" s="543"/>
      <c r="J7" s="2" t="s">
        <v>256</v>
      </c>
      <c r="K7" s="233" t="s">
        <v>19</v>
      </c>
      <c r="L7" s="306" t="s">
        <v>20</v>
      </c>
      <c r="M7" s="3" t="s">
        <v>21</v>
      </c>
      <c r="N7" s="4">
        <v>7</v>
      </c>
      <c r="O7" s="4">
        <v>3</v>
      </c>
      <c r="P7" s="5">
        <v>0.21</v>
      </c>
      <c r="Q7" s="101">
        <f t="shared" ref="Q7:Q60" si="0">Q8-P7</f>
        <v>-5.9799999999999036</v>
      </c>
      <c r="R7" s="7">
        <f t="shared" ref="R7:R79" si="1">Q7+P7</f>
        <v>-5.7699999999999037</v>
      </c>
      <c r="S7" s="8"/>
      <c r="T7" s="8"/>
      <c r="U7" s="246">
        <f>0.0009714*O7*O7*P7*3.281</f>
        <v>6.0237388259999991E-3</v>
      </c>
      <c r="V7" s="323">
        <f>U7</f>
        <v>6.0237388259999991E-3</v>
      </c>
    </row>
    <row r="8" spans="2:23" ht="30" customHeight="1" x14ac:dyDescent="0.3">
      <c r="B8" s="539"/>
      <c r="C8" s="544" t="s">
        <v>22</v>
      </c>
      <c r="D8" s="544"/>
      <c r="E8" s="544"/>
      <c r="F8" s="544"/>
      <c r="G8" s="544"/>
      <c r="H8" s="544"/>
      <c r="I8" s="544"/>
      <c r="J8" s="9"/>
      <c r="K8" s="233" t="s">
        <v>19</v>
      </c>
      <c r="L8" s="3" t="s">
        <v>23</v>
      </c>
      <c r="M8" s="3" t="s">
        <v>21</v>
      </c>
      <c r="N8" s="4">
        <v>5</v>
      </c>
      <c r="O8" s="4">
        <v>3</v>
      </c>
      <c r="P8" s="10">
        <v>1.1000000000000001</v>
      </c>
      <c r="Q8" s="101">
        <f t="shared" si="0"/>
        <v>-5.7699999999999037</v>
      </c>
      <c r="R8" s="7">
        <f t="shared" si="1"/>
        <v>-4.669999999999904</v>
      </c>
      <c r="S8" s="11"/>
      <c r="T8" s="12"/>
      <c r="U8" s="246">
        <f t="shared" ref="U8:U67" si="2">0.0009714*O8*O8*P8*3.281</f>
        <v>3.1552917659999999E-2</v>
      </c>
      <c r="V8" s="324">
        <f>V7+U8</f>
        <v>3.7576656485999997E-2</v>
      </c>
    </row>
    <row r="9" spans="2:23" ht="42.75" customHeight="1" x14ac:dyDescent="0.3">
      <c r="B9" s="539"/>
      <c r="C9" s="545" t="s">
        <v>204</v>
      </c>
      <c r="D9" s="543"/>
      <c r="E9" s="543"/>
      <c r="F9" s="543"/>
      <c r="G9" s="543"/>
      <c r="H9" s="543"/>
      <c r="I9" s="543"/>
      <c r="J9" s="2"/>
      <c r="K9" s="233" t="s">
        <v>19</v>
      </c>
      <c r="L9" s="3" t="s">
        <v>23</v>
      </c>
      <c r="M9" s="3" t="s">
        <v>24</v>
      </c>
      <c r="N9" s="13" t="s">
        <v>25</v>
      </c>
      <c r="O9" s="13">
        <v>3</v>
      </c>
      <c r="P9" s="10">
        <v>2</v>
      </c>
      <c r="Q9" s="101">
        <f t="shared" si="0"/>
        <v>-4.6699999999999031</v>
      </c>
      <c r="R9" s="7">
        <f t="shared" si="1"/>
        <v>-2.6699999999999031</v>
      </c>
      <c r="S9" s="11"/>
      <c r="T9" s="14"/>
      <c r="U9" s="246">
        <f t="shared" si="2"/>
        <v>5.7368941200000002E-2</v>
      </c>
      <c r="V9" s="324">
        <f t="shared" ref="V9:V67" si="3">V8+U9</f>
        <v>9.4945597685999999E-2</v>
      </c>
    </row>
    <row r="10" spans="2:23" ht="23.25" customHeight="1" x14ac:dyDescent="0.3">
      <c r="B10" s="539"/>
      <c r="C10" s="543" t="s">
        <v>26</v>
      </c>
      <c r="D10" s="487"/>
      <c r="E10" s="487"/>
      <c r="F10" s="487"/>
      <c r="G10" s="487"/>
      <c r="H10" s="487"/>
      <c r="I10" s="487"/>
      <c r="J10" s="2"/>
      <c r="K10" s="233" t="s">
        <v>19</v>
      </c>
      <c r="L10" s="16" t="s">
        <v>23</v>
      </c>
      <c r="M10" s="16" t="s">
        <v>27</v>
      </c>
      <c r="N10" s="4">
        <v>20</v>
      </c>
      <c r="O10" s="13">
        <v>3</v>
      </c>
      <c r="P10" s="17">
        <v>0.61</v>
      </c>
      <c r="Q10" s="101">
        <f t="shared" si="0"/>
        <v>-2.6699999999999031</v>
      </c>
      <c r="R10" s="7">
        <f t="shared" si="1"/>
        <v>-2.0599999999999032</v>
      </c>
      <c r="S10" s="11"/>
      <c r="T10" s="14"/>
      <c r="U10" s="246">
        <f t="shared" si="2"/>
        <v>1.7497527065999999E-2</v>
      </c>
      <c r="V10" s="324">
        <f t="shared" si="3"/>
        <v>0.112443124752</v>
      </c>
    </row>
    <row r="11" spans="2:23" s="56" customFormat="1" ht="23.25" customHeight="1" x14ac:dyDescent="0.3">
      <c r="B11" s="325"/>
      <c r="C11" s="546" t="s">
        <v>28</v>
      </c>
      <c r="D11" s="547"/>
      <c r="E11" s="547"/>
      <c r="F11" s="547"/>
      <c r="G11" s="547"/>
      <c r="H11" s="547"/>
      <c r="I11" s="547"/>
      <c r="J11" s="30"/>
      <c r="K11" s="255" t="s">
        <v>19</v>
      </c>
      <c r="L11" s="47" t="s">
        <v>23</v>
      </c>
      <c r="M11" s="47" t="s">
        <v>29</v>
      </c>
      <c r="N11" s="60">
        <v>8</v>
      </c>
      <c r="O11" s="13">
        <v>3</v>
      </c>
      <c r="P11" s="17">
        <v>0.46</v>
      </c>
      <c r="Q11" s="101">
        <f t="shared" si="0"/>
        <v>-2.0599999999999032</v>
      </c>
      <c r="R11" s="7">
        <f t="shared" si="1"/>
        <v>-1.5999999999999033</v>
      </c>
      <c r="S11" s="33"/>
      <c r="T11" s="256"/>
      <c r="U11" s="257">
        <f t="shared" si="2"/>
        <v>1.3194856475999999E-2</v>
      </c>
      <c r="V11" s="324">
        <f t="shared" si="3"/>
        <v>0.12563798122799999</v>
      </c>
    </row>
    <row r="12" spans="2:23" ht="23.25" customHeight="1" x14ac:dyDescent="0.3">
      <c r="B12" s="326"/>
      <c r="C12" s="548" t="s">
        <v>159</v>
      </c>
      <c r="D12" s="487"/>
      <c r="E12" s="487"/>
      <c r="F12" s="487"/>
      <c r="G12" s="487"/>
      <c r="H12" s="487"/>
      <c r="I12" s="487"/>
      <c r="J12" s="247"/>
      <c r="K12" s="233" t="s">
        <v>19</v>
      </c>
      <c r="L12" s="16" t="s">
        <v>27</v>
      </c>
      <c r="M12" s="16" t="s">
        <v>27</v>
      </c>
      <c r="N12" s="18">
        <v>8</v>
      </c>
      <c r="O12" s="13">
        <v>3</v>
      </c>
      <c r="P12" s="17">
        <v>0.13</v>
      </c>
      <c r="Q12" s="101">
        <f t="shared" si="0"/>
        <v>-1.5999999999999033</v>
      </c>
      <c r="R12" s="7">
        <f t="shared" si="1"/>
        <v>-1.4699999999999034</v>
      </c>
      <c r="S12" s="11"/>
      <c r="T12" s="20"/>
      <c r="U12" s="246">
        <f t="shared" si="2"/>
        <v>3.7289811780000003E-3</v>
      </c>
      <c r="V12" s="324">
        <f t="shared" si="3"/>
        <v>0.12936696240599999</v>
      </c>
    </row>
    <row r="13" spans="2:23" s="29" customFormat="1" ht="31.5" customHeight="1" thickBot="1" x14ac:dyDescent="0.45">
      <c r="B13" s="327"/>
      <c r="C13" s="535" t="s">
        <v>30</v>
      </c>
      <c r="D13" s="536"/>
      <c r="E13" s="536"/>
      <c r="F13" s="536"/>
      <c r="G13" s="307"/>
      <c r="H13" s="307"/>
      <c r="I13" s="21" t="s">
        <v>31</v>
      </c>
      <c r="J13" s="22"/>
      <c r="K13" s="233" t="s">
        <v>19</v>
      </c>
      <c r="L13" s="23" t="s">
        <v>23</v>
      </c>
      <c r="M13" s="24" t="s">
        <v>27</v>
      </c>
      <c r="N13" s="25">
        <v>8</v>
      </c>
      <c r="O13" s="26">
        <v>3</v>
      </c>
      <c r="P13" s="17">
        <v>2.88</v>
      </c>
      <c r="Q13" s="101">
        <f t="shared" si="0"/>
        <v>-1.4699999999999032</v>
      </c>
      <c r="R13" s="7">
        <f t="shared" si="1"/>
        <v>1.4100000000000967</v>
      </c>
      <c r="S13" s="27"/>
      <c r="T13" s="28">
        <f t="shared" ref="T13:T61" si="4">R13*0.1706*11.6</f>
        <v>2.7903336000001913</v>
      </c>
      <c r="U13" s="246">
        <f t="shared" si="2"/>
        <v>8.2611275328E-2</v>
      </c>
      <c r="V13" s="324">
        <f t="shared" si="3"/>
        <v>0.21197823773399999</v>
      </c>
    </row>
    <row r="14" spans="2:23" s="29" customFormat="1" ht="31.5" customHeight="1" thickBot="1" x14ac:dyDescent="0.35">
      <c r="B14" s="327"/>
      <c r="C14" s="549" t="s">
        <v>170</v>
      </c>
      <c r="D14" s="487"/>
      <c r="E14" s="487"/>
      <c r="F14" s="487"/>
      <c r="G14" s="487"/>
      <c r="H14" s="487"/>
      <c r="I14" s="487"/>
      <c r="J14" s="30"/>
      <c r="K14" s="234" t="s">
        <v>19</v>
      </c>
      <c r="L14" s="3" t="s">
        <v>166</v>
      </c>
      <c r="M14" s="3" t="s">
        <v>166</v>
      </c>
      <c r="N14" s="31">
        <v>8</v>
      </c>
      <c r="O14" s="32">
        <v>3</v>
      </c>
      <c r="P14" s="17">
        <v>0.46500000000000002</v>
      </c>
      <c r="Q14" s="101">
        <f t="shared" si="0"/>
        <v>1.4100000000000967</v>
      </c>
      <c r="R14" s="7">
        <f t="shared" si="1"/>
        <v>1.8750000000000968</v>
      </c>
      <c r="S14" s="33"/>
      <c r="T14" s="34"/>
      <c r="U14" s="246">
        <f t="shared" si="2"/>
        <v>1.3338278829000003E-2</v>
      </c>
      <c r="V14" s="324">
        <f t="shared" si="3"/>
        <v>0.225316516563</v>
      </c>
      <c r="W14" s="249"/>
    </row>
    <row r="15" spans="2:23" s="29" customFormat="1" ht="23.25" customHeight="1" thickBot="1" x14ac:dyDescent="0.35">
      <c r="B15" s="327"/>
      <c r="C15" s="552" t="s">
        <v>159</v>
      </c>
      <c r="D15" s="487"/>
      <c r="E15" s="487"/>
      <c r="F15" s="487"/>
      <c r="G15" s="487"/>
      <c r="H15" s="487"/>
      <c r="I15" s="487"/>
      <c r="J15" s="35"/>
      <c r="K15" s="234" t="s">
        <v>19</v>
      </c>
      <c r="L15" s="313" t="s">
        <v>27</v>
      </c>
      <c r="M15" s="313" t="s">
        <v>27</v>
      </c>
      <c r="N15" s="36">
        <v>8</v>
      </c>
      <c r="O15" s="36">
        <v>2.75</v>
      </c>
      <c r="P15" s="17">
        <v>0.125</v>
      </c>
      <c r="Q15" s="101">
        <f t="shared" si="0"/>
        <v>1.8750000000000968</v>
      </c>
      <c r="R15" s="7">
        <f t="shared" si="1"/>
        <v>2.0000000000000968</v>
      </c>
      <c r="S15" s="33"/>
      <c r="T15" s="34"/>
      <c r="U15" s="246">
        <f t="shared" si="2"/>
        <v>3.0128654015624998E-3</v>
      </c>
      <c r="V15" s="324">
        <f t="shared" si="3"/>
        <v>0.22832938196456251</v>
      </c>
    </row>
    <row r="16" spans="2:23" s="29" customFormat="1" ht="38.1" customHeight="1" thickBot="1" x14ac:dyDescent="0.45">
      <c r="B16" s="327"/>
      <c r="C16" s="535" t="s">
        <v>30</v>
      </c>
      <c r="D16" s="536"/>
      <c r="E16" s="536"/>
      <c r="F16" s="536"/>
      <c r="G16" s="240"/>
      <c r="H16" s="240"/>
      <c r="I16" s="241"/>
      <c r="J16" s="30"/>
      <c r="K16" s="234" t="s">
        <v>19</v>
      </c>
      <c r="L16" s="23" t="s">
        <v>23</v>
      </c>
      <c r="M16" s="24" t="s">
        <v>27</v>
      </c>
      <c r="N16" s="25">
        <v>8</v>
      </c>
      <c r="O16" s="26">
        <v>3</v>
      </c>
      <c r="P16" s="17">
        <v>2.88</v>
      </c>
      <c r="Q16" s="101">
        <f t="shared" si="0"/>
        <v>2.0000000000000968</v>
      </c>
      <c r="R16" s="7">
        <f t="shared" si="1"/>
        <v>4.8800000000000967</v>
      </c>
      <c r="S16" s="33"/>
      <c r="T16" s="34"/>
      <c r="U16" s="246">
        <f t="shared" si="2"/>
        <v>8.2611275328E-2</v>
      </c>
      <c r="V16" s="324">
        <f t="shared" si="3"/>
        <v>0.31094065729256248</v>
      </c>
    </row>
    <row r="17" spans="2:29" s="29" customFormat="1" ht="33.6" customHeight="1" thickBot="1" x14ac:dyDescent="0.35">
      <c r="B17" s="327"/>
      <c r="C17" s="486" t="s">
        <v>180</v>
      </c>
      <c r="D17" s="487"/>
      <c r="E17" s="487"/>
      <c r="F17" s="487"/>
      <c r="G17" s="487"/>
      <c r="H17" s="487"/>
      <c r="I17" s="487"/>
      <c r="J17" s="30"/>
      <c r="K17" s="234" t="s">
        <v>19</v>
      </c>
      <c r="L17" s="3" t="s">
        <v>166</v>
      </c>
      <c r="M17" s="24" t="s">
        <v>181</v>
      </c>
      <c r="N17" s="31">
        <v>8</v>
      </c>
      <c r="O17" s="32">
        <v>3</v>
      </c>
      <c r="P17" s="17">
        <v>0.48</v>
      </c>
      <c r="Q17" s="101">
        <f t="shared" si="0"/>
        <v>4.8800000000000967</v>
      </c>
      <c r="R17" s="7">
        <f t="shared" si="1"/>
        <v>5.3600000000000971</v>
      </c>
      <c r="S17" s="33"/>
      <c r="T17" s="34"/>
      <c r="U17" s="246">
        <f t="shared" si="2"/>
        <v>1.3768545887999998E-2</v>
      </c>
      <c r="V17" s="324">
        <f t="shared" si="3"/>
        <v>0.32470920318056246</v>
      </c>
      <c r="W17" s="254"/>
    </row>
    <row r="18" spans="2:29" s="29" customFormat="1" ht="33.6" customHeight="1" thickBot="1" x14ac:dyDescent="0.35">
      <c r="B18" s="327"/>
      <c r="C18" s="486" t="s">
        <v>187</v>
      </c>
      <c r="D18" s="487"/>
      <c r="E18" s="487"/>
      <c r="F18" s="487"/>
      <c r="G18" s="487"/>
      <c r="H18" s="487"/>
      <c r="I18" s="487"/>
      <c r="J18" s="30"/>
      <c r="K18" s="244" t="s">
        <v>1</v>
      </c>
      <c r="L18" s="245" t="s">
        <v>182</v>
      </c>
      <c r="M18" s="245" t="s">
        <v>182</v>
      </c>
      <c r="N18" s="31">
        <v>4.5</v>
      </c>
      <c r="O18" s="32">
        <v>3</v>
      </c>
      <c r="P18" s="17">
        <v>2.6</v>
      </c>
      <c r="Q18" s="101">
        <f t="shared" si="0"/>
        <v>5.3600000000000971</v>
      </c>
      <c r="R18" s="7">
        <f t="shared" si="1"/>
        <v>7.9600000000000968</v>
      </c>
      <c r="S18" s="33"/>
      <c r="T18" s="34"/>
      <c r="U18" s="246">
        <f t="shared" si="2"/>
        <v>7.4579623560000002E-2</v>
      </c>
      <c r="V18" s="324">
        <f t="shared" si="3"/>
        <v>0.39928882674056243</v>
      </c>
    </row>
    <row r="19" spans="2:29" s="29" customFormat="1" ht="33.6" customHeight="1" thickBot="1" x14ac:dyDescent="0.35">
      <c r="B19" s="327"/>
      <c r="C19" s="537" t="s">
        <v>179</v>
      </c>
      <c r="D19" s="487"/>
      <c r="E19" s="487"/>
      <c r="F19" s="487"/>
      <c r="G19" s="487"/>
      <c r="H19" s="487"/>
      <c r="I19" s="487"/>
      <c r="J19" s="273"/>
      <c r="K19" s="234" t="s">
        <v>19</v>
      </c>
      <c r="L19" s="24" t="s">
        <v>178</v>
      </c>
      <c r="M19" s="3" t="s">
        <v>166</v>
      </c>
      <c r="N19" s="31">
        <v>8</v>
      </c>
      <c r="O19" s="31">
        <v>3</v>
      </c>
      <c r="P19" s="17">
        <v>0.505</v>
      </c>
      <c r="Q19" s="101">
        <f t="shared" si="0"/>
        <v>7.9600000000000977</v>
      </c>
      <c r="R19" s="7">
        <f t="shared" si="1"/>
        <v>8.4650000000000976</v>
      </c>
      <c r="S19" s="33"/>
      <c r="T19" s="34"/>
      <c r="U19" s="246">
        <f t="shared" si="2"/>
        <v>1.4485657653E-2</v>
      </c>
      <c r="V19" s="324">
        <f t="shared" si="3"/>
        <v>0.41377448439356246</v>
      </c>
    </row>
    <row r="20" spans="2:29" s="29" customFormat="1" ht="26.55" customHeight="1" thickBot="1" x14ac:dyDescent="0.35">
      <c r="B20" s="327"/>
      <c r="C20" s="552" t="s">
        <v>30</v>
      </c>
      <c r="D20" s="487"/>
      <c r="E20" s="487"/>
      <c r="F20" s="487"/>
      <c r="G20" s="487"/>
      <c r="H20" s="487"/>
      <c r="I20" s="487"/>
      <c r="J20" s="273"/>
      <c r="K20" s="234" t="s">
        <v>19</v>
      </c>
      <c r="L20" s="3" t="s">
        <v>177</v>
      </c>
      <c r="M20" s="313" t="s">
        <v>29</v>
      </c>
      <c r="N20" s="31">
        <v>8</v>
      </c>
      <c r="O20" s="31">
        <v>3</v>
      </c>
      <c r="P20" s="17">
        <v>1.22</v>
      </c>
      <c r="Q20" s="101">
        <f t="shared" si="0"/>
        <v>8.4650000000000976</v>
      </c>
      <c r="R20" s="7">
        <f t="shared" si="1"/>
        <v>9.6850000000000982</v>
      </c>
      <c r="S20" s="33"/>
      <c r="T20" s="34"/>
      <c r="U20" s="246">
        <f t="shared" si="2"/>
        <v>3.4995054131999999E-2</v>
      </c>
      <c r="V20" s="324">
        <f t="shared" si="3"/>
        <v>0.44876953852556245</v>
      </c>
    </row>
    <row r="21" spans="2:29" s="29" customFormat="1" ht="26.55" customHeight="1" x14ac:dyDescent="0.3">
      <c r="B21" s="327"/>
      <c r="C21" s="552" t="s">
        <v>159</v>
      </c>
      <c r="D21" s="487"/>
      <c r="E21" s="487"/>
      <c r="F21" s="487"/>
      <c r="G21" s="487"/>
      <c r="H21" s="487"/>
      <c r="I21" s="487"/>
      <c r="J21" s="273"/>
      <c r="K21" s="236" t="s">
        <v>32</v>
      </c>
      <c r="L21" s="313" t="s">
        <v>27</v>
      </c>
      <c r="M21" s="313" t="s">
        <v>27</v>
      </c>
      <c r="N21" s="31">
        <v>8</v>
      </c>
      <c r="O21" s="31">
        <v>2.75</v>
      </c>
      <c r="P21" s="17">
        <v>0.35499999999999998</v>
      </c>
      <c r="Q21" s="101">
        <f t="shared" si="0"/>
        <v>9.6850000000000982</v>
      </c>
      <c r="R21" s="7">
        <f t="shared" si="1"/>
        <v>10.040000000000099</v>
      </c>
      <c r="S21" s="33"/>
      <c r="T21" s="34"/>
      <c r="U21" s="246">
        <f t="shared" si="2"/>
        <v>8.556537740437499E-3</v>
      </c>
      <c r="V21" s="324">
        <f t="shared" si="3"/>
        <v>0.45732607626599997</v>
      </c>
    </row>
    <row r="22" spans="2:29" s="29" customFormat="1" ht="38.1" customHeight="1" x14ac:dyDescent="0.3">
      <c r="B22" s="327"/>
      <c r="C22" s="550" t="s">
        <v>161</v>
      </c>
      <c r="D22" s="551"/>
      <c r="E22" s="551"/>
      <c r="F22" s="551"/>
      <c r="G22" s="551"/>
      <c r="H22" s="551"/>
      <c r="I22" s="551"/>
      <c r="J22" s="235"/>
      <c r="K22" s="236" t="s">
        <v>32</v>
      </c>
      <c r="L22" s="3" t="s">
        <v>162</v>
      </c>
      <c r="M22" s="237" t="s">
        <v>163</v>
      </c>
      <c r="N22" s="36">
        <v>8</v>
      </c>
      <c r="O22" s="36">
        <v>3</v>
      </c>
      <c r="P22" s="36">
        <v>1.63</v>
      </c>
      <c r="Q22" s="101">
        <f t="shared" si="0"/>
        <v>10.040000000000099</v>
      </c>
      <c r="R22" s="7">
        <f t="shared" si="1"/>
        <v>11.670000000000098</v>
      </c>
      <c r="S22" s="33"/>
      <c r="T22" s="34"/>
      <c r="U22" s="246">
        <f t="shared" si="2"/>
        <v>4.6755687077999999E-2</v>
      </c>
      <c r="V22" s="324">
        <f t="shared" si="3"/>
        <v>0.50408176334400001</v>
      </c>
      <c r="W22" s="268"/>
    </row>
    <row r="23" spans="2:29" s="29" customFormat="1" ht="37.5" customHeight="1" x14ac:dyDescent="0.3">
      <c r="B23" s="327"/>
      <c r="C23" s="554" t="s">
        <v>164</v>
      </c>
      <c r="D23" s="555"/>
      <c r="E23" s="555"/>
      <c r="F23" s="555"/>
      <c r="G23" s="555"/>
      <c r="H23" s="555"/>
      <c r="I23" s="555"/>
      <c r="J23" s="238"/>
      <c r="K23" s="351" t="s">
        <v>32</v>
      </c>
      <c r="L23" s="314" t="s">
        <v>165</v>
      </c>
      <c r="M23" s="239" t="s">
        <v>25</v>
      </c>
      <c r="N23" s="232">
        <v>8</v>
      </c>
      <c r="O23" s="232">
        <v>3</v>
      </c>
      <c r="P23" s="36">
        <v>0.47</v>
      </c>
      <c r="Q23" s="101">
        <f t="shared" si="0"/>
        <v>11.670000000000098</v>
      </c>
      <c r="R23" s="7">
        <f t="shared" si="1"/>
        <v>12.140000000000098</v>
      </c>
      <c r="S23" s="33"/>
      <c r="T23" s="34"/>
      <c r="U23" s="246">
        <f t="shared" si="2"/>
        <v>1.3481701181999999E-2</v>
      </c>
      <c r="V23" s="324">
        <f t="shared" si="3"/>
        <v>0.51756346452599999</v>
      </c>
      <c r="W23" s="268"/>
      <c r="X23" s="269"/>
    </row>
    <row r="24" spans="2:29" ht="55.5" customHeight="1" x14ac:dyDescent="0.3">
      <c r="B24" s="328"/>
      <c r="C24" s="553" t="s">
        <v>212</v>
      </c>
      <c r="D24" s="464"/>
      <c r="E24" s="464"/>
      <c r="F24" s="464"/>
      <c r="G24" s="464"/>
      <c r="H24" s="464"/>
      <c r="I24" s="464"/>
      <c r="J24" s="45"/>
      <c r="K24" s="46" t="s">
        <v>32</v>
      </c>
      <c r="L24" s="47" t="s">
        <v>25</v>
      </c>
      <c r="M24" s="47" t="s">
        <v>173</v>
      </c>
      <c r="N24" s="36">
        <v>8</v>
      </c>
      <c r="O24" s="48">
        <v>3</v>
      </c>
      <c r="P24" s="36">
        <v>1.5249999999999999</v>
      </c>
      <c r="Q24" s="259">
        <f>Q25-P24</f>
        <v>12.140000000000098</v>
      </c>
      <c r="R24" s="7">
        <f>Q24+P24</f>
        <v>13.665000000000099</v>
      </c>
      <c r="S24" s="49"/>
      <c r="T24" s="38">
        <f t="shared" si="4"/>
        <v>27.042488400000195</v>
      </c>
      <c r="U24" s="246">
        <f t="shared" si="2"/>
        <v>4.3743817664999997E-2</v>
      </c>
      <c r="V24" s="324">
        <f t="shared" si="3"/>
        <v>0.56130728219100001</v>
      </c>
      <c r="W24" s="39"/>
      <c r="X24" s="248"/>
      <c r="Y24" s="40"/>
      <c r="Z24" s="42"/>
      <c r="AA24" s="43"/>
      <c r="AB24" s="44"/>
      <c r="AC24" s="41"/>
    </row>
    <row r="25" spans="2:29" ht="27.75" customHeight="1" x14ac:dyDescent="0.3">
      <c r="B25" s="328"/>
      <c r="C25" s="494" t="s">
        <v>216</v>
      </c>
      <c r="D25" s="495"/>
      <c r="E25" s="495"/>
      <c r="F25" s="495"/>
      <c r="G25" s="495"/>
      <c r="H25" s="495"/>
      <c r="I25" s="495"/>
      <c r="J25" s="45"/>
      <c r="K25" s="51" t="s">
        <v>32</v>
      </c>
      <c r="L25" s="47" t="s">
        <v>176</v>
      </c>
      <c r="M25" s="313" t="s">
        <v>160</v>
      </c>
      <c r="N25" s="36">
        <v>6</v>
      </c>
      <c r="O25" s="48">
        <v>2.54</v>
      </c>
      <c r="P25" s="36">
        <v>0.33</v>
      </c>
      <c r="Q25" s="101">
        <f t="shared" si="0"/>
        <v>13.665000000000099</v>
      </c>
      <c r="R25" s="7">
        <f t="shared" si="1"/>
        <v>13.995000000000099</v>
      </c>
      <c r="S25" s="49"/>
      <c r="T25" s="38">
        <f t="shared" si="4"/>
        <v>27.695545200000197</v>
      </c>
      <c r="U25" s="246">
        <f t="shared" si="2"/>
        <v>6.7855601191752013E-3</v>
      </c>
      <c r="V25" s="324">
        <f t="shared" si="3"/>
        <v>0.56809284231017521</v>
      </c>
      <c r="W25" s="39"/>
      <c r="X25" s="39"/>
      <c r="Y25" s="40"/>
      <c r="Z25" s="42"/>
      <c r="AA25" s="43"/>
      <c r="AB25" s="44"/>
      <c r="AC25" s="41"/>
    </row>
    <row r="26" spans="2:29" ht="27.75" customHeight="1" x14ac:dyDescent="0.3">
      <c r="B26" s="328"/>
      <c r="C26" s="494" t="s">
        <v>217</v>
      </c>
      <c r="D26" s="495"/>
      <c r="E26" s="495"/>
      <c r="F26" s="495"/>
      <c r="G26" s="495"/>
      <c r="H26" s="495"/>
      <c r="I26" s="495"/>
      <c r="J26" s="295"/>
      <c r="K26" s="51" t="s">
        <v>32</v>
      </c>
      <c r="L26" s="47" t="s">
        <v>176</v>
      </c>
      <c r="M26" s="313" t="s">
        <v>160</v>
      </c>
      <c r="N26" s="36">
        <v>6</v>
      </c>
      <c r="O26" s="48">
        <v>2.54</v>
      </c>
      <c r="P26" s="36">
        <v>0.433</v>
      </c>
      <c r="Q26" s="355">
        <f t="shared" ref="Q26:Q31" si="5">Q27-P26</f>
        <v>13.995000000000099</v>
      </c>
      <c r="R26" s="7">
        <f t="shared" si="1"/>
        <v>14.428000000000099</v>
      </c>
      <c r="S26" s="49"/>
      <c r="T26" s="38">
        <f t="shared" si="4"/>
        <v>28.552434880000192</v>
      </c>
      <c r="U26" s="246">
        <f t="shared" si="2"/>
        <v>8.9034773684935203E-3</v>
      </c>
      <c r="V26" s="324">
        <f t="shared" si="3"/>
        <v>0.57699631967866871</v>
      </c>
      <c r="W26" s="39"/>
      <c r="X26" s="39"/>
      <c r="Y26" s="40"/>
      <c r="Z26" s="42"/>
      <c r="AA26" s="43"/>
      <c r="AB26" s="44"/>
      <c r="AC26" s="41"/>
    </row>
    <row r="27" spans="2:29" ht="27.75" customHeight="1" x14ac:dyDescent="0.3">
      <c r="B27" s="328"/>
      <c r="C27" s="494" t="s">
        <v>218</v>
      </c>
      <c r="D27" s="495"/>
      <c r="E27" s="495"/>
      <c r="F27" s="495"/>
      <c r="G27" s="495"/>
      <c r="H27" s="495"/>
      <c r="I27" s="495"/>
      <c r="J27" s="45"/>
      <c r="K27" s="51" t="s">
        <v>32</v>
      </c>
      <c r="L27" s="47" t="s">
        <v>176</v>
      </c>
      <c r="M27" s="313" t="s">
        <v>160</v>
      </c>
      <c r="N27" s="36">
        <v>6</v>
      </c>
      <c r="O27" s="48">
        <v>2.54</v>
      </c>
      <c r="P27" s="36">
        <v>0.49</v>
      </c>
      <c r="Q27" s="355">
        <f t="shared" si="5"/>
        <v>14.428000000000099</v>
      </c>
      <c r="R27" s="7">
        <f t="shared" ref="R27:R31" si="6">Q27+P27</f>
        <v>14.918000000000099</v>
      </c>
      <c r="S27" s="49"/>
      <c r="T27" s="38">
        <f t="shared" ref="T27" si="7">R27*0.1706*11.6</f>
        <v>29.522125280000196</v>
      </c>
      <c r="U27" s="246">
        <f t="shared" ref="U27:U31" si="8">0.0009714*O27*O27*P27*3.281</f>
        <v>1.00755286618056E-2</v>
      </c>
      <c r="V27" s="324">
        <f t="shared" si="3"/>
        <v>0.58707184834047432</v>
      </c>
      <c r="W27" s="39"/>
      <c r="X27" s="248"/>
      <c r="Y27" s="40"/>
      <c r="Z27" s="42"/>
      <c r="AA27" s="43"/>
      <c r="AB27" s="44"/>
      <c r="AC27" s="41"/>
    </row>
    <row r="28" spans="2:29" s="352" customFormat="1" ht="22.95" customHeight="1" x14ac:dyDescent="0.3">
      <c r="B28" s="353"/>
      <c r="C28" s="496" t="s">
        <v>259</v>
      </c>
      <c r="D28" s="497"/>
      <c r="E28" s="497"/>
      <c r="F28" s="497"/>
      <c r="G28" s="497"/>
      <c r="H28" s="497"/>
      <c r="I28" s="498"/>
      <c r="J28" s="45"/>
      <c r="K28" s="45" t="s">
        <v>1</v>
      </c>
      <c r="L28" s="350" t="s">
        <v>160</v>
      </c>
      <c r="M28" s="350" t="s">
        <v>160</v>
      </c>
      <c r="N28" s="354">
        <v>3.5</v>
      </c>
      <c r="O28" s="48">
        <v>2.54</v>
      </c>
      <c r="P28" s="354">
        <v>28.86</v>
      </c>
      <c r="Q28" s="355">
        <f>Q29-P28</f>
        <v>14.918000000000099</v>
      </c>
      <c r="R28" s="356">
        <f t="shared" ref="R28" si="9">Q28+P28</f>
        <v>43.778000000000098</v>
      </c>
      <c r="S28" s="49"/>
      <c r="T28" s="38"/>
      <c r="U28" s="246">
        <f t="shared" ref="U28" si="10">0.0009714*O28*O28*P28*3.281</f>
        <v>0.59342807587695845</v>
      </c>
      <c r="V28" s="324">
        <f>V26+U28</f>
        <v>1.1704243955556271</v>
      </c>
      <c r="W28" s="39"/>
      <c r="X28" s="248"/>
      <c r="Y28" s="357"/>
      <c r="Z28" s="358"/>
      <c r="AA28" s="359"/>
      <c r="AB28" s="359"/>
      <c r="AC28" s="360"/>
    </row>
    <row r="29" spans="2:29" s="352" customFormat="1" ht="22.95" customHeight="1" x14ac:dyDescent="0.3">
      <c r="B29" s="353"/>
      <c r="C29" s="500" t="s">
        <v>257</v>
      </c>
      <c r="D29" s="501"/>
      <c r="E29" s="501"/>
      <c r="F29" s="501"/>
      <c r="G29" s="501"/>
      <c r="H29" s="501"/>
      <c r="I29" s="502"/>
      <c r="J29" s="45"/>
      <c r="K29" s="45" t="s">
        <v>1</v>
      </c>
      <c r="L29" s="350" t="s">
        <v>160</v>
      </c>
      <c r="M29" s="350" t="s">
        <v>160</v>
      </c>
      <c r="N29" s="354">
        <v>3.5</v>
      </c>
      <c r="O29" s="48">
        <v>2.54</v>
      </c>
      <c r="P29" s="354">
        <v>2.35</v>
      </c>
      <c r="Q29" s="355">
        <f t="shared" si="5"/>
        <v>43.778000000000098</v>
      </c>
      <c r="R29" s="356">
        <f t="shared" si="6"/>
        <v>46.1280000000001</v>
      </c>
      <c r="S29" s="49"/>
      <c r="T29" s="38"/>
      <c r="U29" s="246">
        <f t="shared" si="8"/>
        <v>4.8321412969884001E-2</v>
      </c>
      <c r="V29" s="324">
        <f>V27+U29</f>
        <v>0.63539326131035834</v>
      </c>
      <c r="W29" s="39"/>
      <c r="X29" s="248"/>
      <c r="Y29" s="357"/>
      <c r="Z29" s="358"/>
      <c r="AA29" s="359"/>
      <c r="AB29" s="359"/>
      <c r="AC29" s="360"/>
    </row>
    <row r="30" spans="2:29" s="352" customFormat="1" ht="24" customHeight="1" x14ac:dyDescent="0.3">
      <c r="B30" s="353"/>
      <c r="C30" s="500" t="s">
        <v>258</v>
      </c>
      <c r="D30" s="501"/>
      <c r="E30" s="501"/>
      <c r="F30" s="501"/>
      <c r="G30" s="501"/>
      <c r="H30" s="501"/>
      <c r="I30" s="502"/>
      <c r="J30" s="45"/>
      <c r="K30" s="45" t="s">
        <v>1</v>
      </c>
      <c r="L30" s="350" t="s">
        <v>160</v>
      </c>
      <c r="M30" s="350" t="s">
        <v>160</v>
      </c>
      <c r="N30" s="354">
        <v>3.5</v>
      </c>
      <c r="O30" s="48">
        <v>2.54</v>
      </c>
      <c r="P30" s="354">
        <v>2.35</v>
      </c>
      <c r="Q30" s="355">
        <f t="shared" si="5"/>
        <v>46.1280000000001</v>
      </c>
      <c r="R30" s="356">
        <f t="shared" si="6"/>
        <v>48.478000000000101</v>
      </c>
      <c r="S30" s="49"/>
      <c r="T30" s="38"/>
      <c r="U30" s="246">
        <f t="shared" si="8"/>
        <v>4.8321412969884001E-2</v>
      </c>
      <c r="V30" s="324">
        <f t="shared" si="3"/>
        <v>0.68371467428024235</v>
      </c>
      <c r="W30" s="39"/>
      <c r="X30" s="248"/>
      <c r="Y30" s="357"/>
      <c r="Z30" s="358"/>
      <c r="AA30" s="359"/>
      <c r="AB30" s="359"/>
      <c r="AC30" s="360"/>
    </row>
    <row r="31" spans="2:29" s="352" customFormat="1" ht="24" customHeight="1" x14ac:dyDescent="0.3">
      <c r="B31" s="353"/>
      <c r="C31" s="500" t="s">
        <v>257</v>
      </c>
      <c r="D31" s="501"/>
      <c r="E31" s="501"/>
      <c r="F31" s="501"/>
      <c r="G31" s="501"/>
      <c r="H31" s="501"/>
      <c r="I31" s="502"/>
      <c r="J31" s="45"/>
      <c r="K31" s="45" t="s">
        <v>1</v>
      </c>
      <c r="L31" s="350" t="s">
        <v>160</v>
      </c>
      <c r="M31" s="350" t="s">
        <v>160</v>
      </c>
      <c r="N31" s="354">
        <v>3.5</v>
      </c>
      <c r="O31" s="48">
        <v>2.54</v>
      </c>
      <c r="P31" s="354">
        <v>2.96</v>
      </c>
      <c r="Q31" s="355">
        <f t="shared" si="5"/>
        <v>48.478000000000101</v>
      </c>
      <c r="R31" s="356">
        <f t="shared" si="6"/>
        <v>51.438000000000102</v>
      </c>
      <c r="S31" s="49"/>
      <c r="T31" s="38"/>
      <c r="U31" s="246">
        <f t="shared" si="8"/>
        <v>6.0864418038662403E-2</v>
      </c>
      <c r="V31" s="324">
        <f t="shared" si="3"/>
        <v>0.74457909231890473</v>
      </c>
      <c r="W31" s="39"/>
      <c r="X31" s="248"/>
      <c r="Y31" s="357"/>
      <c r="Z31" s="358"/>
      <c r="AA31" s="359"/>
      <c r="AB31" s="359"/>
      <c r="AC31" s="360"/>
    </row>
    <row r="32" spans="2:29" ht="27.45" customHeight="1" x14ac:dyDescent="0.3">
      <c r="B32" s="328"/>
      <c r="C32" s="496" t="s">
        <v>260</v>
      </c>
      <c r="D32" s="497"/>
      <c r="E32" s="497"/>
      <c r="F32" s="497"/>
      <c r="G32" s="497"/>
      <c r="H32" s="497"/>
      <c r="I32" s="498"/>
      <c r="J32" s="45"/>
      <c r="K32" s="45" t="s">
        <v>1</v>
      </c>
      <c r="L32" s="313" t="s">
        <v>160</v>
      </c>
      <c r="M32" s="313" t="s">
        <v>160</v>
      </c>
      <c r="N32" s="36">
        <v>3.5</v>
      </c>
      <c r="O32" s="48">
        <v>2.54</v>
      </c>
      <c r="P32" s="354">
        <v>2670.2159999999999</v>
      </c>
      <c r="Q32" s="101">
        <f t="shared" si="0"/>
        <v>51.438000000000102</v>
      </c>
      <c r="R32" s="7">
        <f t="shared" si="1"/>
        <v>2721.654</v>
      </c>
      <c r="S32" s="49"/>
      <c r="T32" s="38">
        <f t="shared" si="4"/>
        <v>5386.0443998399996</v>
      </c>
      <c r="U32" s="246">
        <f t="shared" si="2"/>
        <v>54.905791512677354</v>
      </c>
      <c r="V32" s="324">
        <f t="shared" si="3"/>
        <v>55.650370604996262</v>
      </c>
      <c r="W32" s="39"/>
      <c r="X32" s="248"/>
      <c r="Y32" s="40"/>
      <c r="Z32" s="42"/>
      <c r="AA32" s="43"/>
      <c r="AB32" s="44"/>
      <c r="AC32" s="41"/>
    </row>
    <row r="33" spans="2:29" ht="23.25" customHeight="1" x14ac:dyDescent="0.3">
      <c r="B33" s="328"/>
      <c r="C33" s="499" t="s">
        <v>185</v>
      </c>
      <c r="D33" s="464"/>
      <c r="E33" s="464"/>
      <c r="F33" s="464"/>
      <c r="G33" s="464"/>
      <c r="H33" s="464"/>
      <c r="I33" s="464"/>
      <c r="J33" s="308"/>
      <c r="K33" s="51" t="s">
        <v>32</v>
      </c>
      <c r="L33" s="313" t="s">
        <v>160</v>
      </c>
      <c r="M33" s="309" t="s">
        <v>37</v>
      </c>
      <c r="N33" s="50">
        <v>5</v>
      </c>
      <c r="O33" s="50">
        <v>2.25</v>
      </c>
      <c r="P33" s="37">
        <v>0.4</v>
      </c>
      <c r="Q33" s="274">
        <f t="shared" si="0"/>
        <v>2721.654</v>
      </c>
      <c r="R33" s="7">
        <f t="shared" si="1"/>
        <v>2722.0540000000001</v>
      </c>
      <c r="S33" s="11"/>
      <c r="T33" s="38"/>
      <c r="U33" s="246">
        <f t="shared" si="2"/>
        <v>6.454005885E-3</v>
      </c>
      <c r="V33" s="324">
        <f t="shared" si="3"/>
        <v>55.656824610881259</v>
      </c>
      <c r="W33" s="39"/>
      <c r="X33" s="248"/>
      <c r="Y33" s="39"/>
    </row>
    <row r="34" spans="2:29" ht="16.5" customHeight="1" x14ac:dyDescent="0.3">
      <c r="B34" s="328"/>
      <c r="C34" s="488" t="s">
        <v>251</v>
      </c>
      <c r="D34" s="489"/>
      <c r="E34" s="489"/>
      <c r="F34" s="489"/>
      <c r="G34" s="490"/>
      <c r="H34" s="480" t="s">
        <v>34</v>
      </c>
      <c r="I34" s="481"/>
      <c r="J34" s="471"/>
      <c r="K34" s="62" t="s">
        <v>32</v>
      </c>
      <c r="L34" s="459" t="s">
        <v>38</v>
      </c>
      <c r="M34" s="459" t="s">
        <v>39</v>
      </c>
      <c r="N34" s="482">
        <v>5</v>
      </c>
      <c r="O34" s="482">
        <v>2.25</v>
      </c>
      <c r="P34" s="37">
        <v>0.2</v>
      </c>
      <c r="Q34" s="101">
        <f t="shared" si="0"/>
        <v>2722.0540000000001</v>
      </c>
      <c r="R34" s="7">
        <f>Q34+P34</f>
        <v>2722.2539999999999</v>
      </c>
      <c r="S34" s="63"/>
      <c r="T34" s="54">
        <f t="shared" ref="T34:T35" si="11">R34*0.1706*11.6</f>
        <v>5387.2317758399995</v>
      </c>
      <c r="U34" s="246">
        <f t="shared" si="2"/>
        <v>3.2270029425E-3</v>
      </c>
      <c r="V34" s="324">
        <f t="shared" si="3"/>
        <v>55.660051613823761</v>
      </c>
      <c r="W34" s="39"/>
      <c r="X34" s="39"/>
      <c r="Y34" s="39"/>
    </row>
    <row r="35" spans="2:29" ht="17.25" customHeight="1" x14ac:dyDescent="0.3">
      <c r="B35" s="328"/>
      <c r="C35" s="491"/>
      <c r="D35" s="492"/>
      <c r="E35" s="492"/>
      <c r="F35" s="492"/>
      <c r="G35" s="493"/>
      <c r="H35" s="484" t="s">
        <v>35</v>
      </c>
      <c r="I35" s="485"/>
      <c r="J35" s="472"/>
      <c r="K35" s="62" t="s">
        <v>32</v>
      </c>
      <c r="L35" s="460"/>
      <c r="M35" s="460"/>
      <c r="N35" s="483"/>
      <c r="O35" s="483"/>
      <c r="P35" s="37">
        <v>0.1</v>
      </c>
      <c r="Q35" s="101">
        <f t="shared" si="0"/>
        <v>2722.2539999999999</v>
      </c>
      <c r="R35" s="7">
        <f>Q35+P35</f>
        <v>2722.3539999999998</v>
      </c>
      <c r="S35" s="63"/>
      <c r="T35" s="54">
        <f t="shared" si="11"/>
        <v>5387.4296718399992</v>
      </c>
      <c r="U35" s="246">
        <f t="shared" si="2"/>
        <v>0</v>
      </c>
      <c r="V35" s="324">
        <f t="shared" si="3"/>
        <v>55.660051613823761</v>
      </c>
      <c r="W35" s="39"/>
      <c r="X35" s="39"/>
      <c r="Y35" s="39"/>
    </row>
    <row r="36" spans="2:29" s="56" customFormat="1" ht="25.5" customHeight="1" x14ac:dyDescent="0.3">
      <c r="B36" s="328"/>
      <c r="C36" s="462" t="s">
        <v>262</v>
      </c>
      <c r="D36" s="372"/>
      <c r="E36" s="372"/>
      <c r="F36" s="372"/>
      <c r="G36" s="372"/>
      <c r="H36" s="372"/>
      <c r="I36" s="373"/>
      <c r="J36" s="47"/>
      <c r="K36" s="52" t="s">
        <v>32</v>
      </c>
      <c r="L36" s="47" t="s">
        <v>33</v>
      </c>
      <c r="M36" s="47" t="s">
        <v>33</v>
      </c>
      <c r="N36" s="5">
        <v>5</v>
      </c>
      <c r="O36" s="5">
        <v>2.25</v>
      </c>
      <c r="P36" s="17">
        <v>4.5999999999999996</v>
      </c>
      <c r="Q36" s="101">
        <f t="shared" si="0"/>
        <v>2722.3539999999998</v>
      </c>
      <c r="R36" s="7">
        <f t="shared" si="1"/>
        <v>2726.9539999999997</v>
      </c>
      <c r="S36" s="53"/>
      <c r="T36" s="54"/>
      <c r="U36" s="246">
        <f t="shared" si="2"/>
        <v>7.4221067677499988E-2</v>
      </c>
      <c r="V36" s="324">
        <f t="shared" si="3"/>
        <v>55.73427268150126</v>
      </c>
      <c r="W36" s="29"/>
      <c r="X36" s="29"/>
      <c r="Y36" s="40"/>
      <c r="Z36" s="42"/>
      <c r="AA36" s="43"/>
      <c r="AB36" s="43"/>
      <c r="AC36" s="55"/>
    </row>
    <row r="37" spans="2:29" ht="25.5" customHeight="1" x14ac:dyDescent="0.3">
      <c r="B37" s="328"/>
      <c r="C37" s="462" t="s">
        <v>262</v>
      </c>
      <c r="D37" s="372"/>
      <c r="E37" s="372"/>
      <c r="F37" s="372"/>
      <c r="G37" s="372"/>
      <c r="H37" s="372"/>
      <c r="I37" s="373"/>
      <c r="J37" s="57"/>
      <c r="K37" s="51" t="s">
        <v>32</v>
      </c>
      <c r="L37" s="58" t="s">
        <v>33</v>
      </c>
      <c r="M37" s="58" t="s">
        <v>33</v>
      </c>
      <c r="N37" s="5">
        <v>5</v>
      </c>
      <c r="O37" s="4">
        <v>2.25</v>
      </c>
      <c r="P37" s="17">
        <v>5.01</v>
      </c>
      <c r="Q37" s="101">
        <f t="shared" si="0"/>
        <v>2726.9539999999997</v>
      </c>
      <c r="R37" s="7">
        <f t="shared" si="1"/>
        <v>2731.9639999999999</v>
      </c>
      <c r="S37" s="59"/>
      <c r="T37" s="38"/>
      <c r="U37" s="246">
        <f t="shared" si="2"/>
        <v>8.0836423709625002E-2</v>
      </c>
      <c r="V37" s="324">
        <f t="shared" si="3"/>
        <v>55.815109105210887</v>
      </c>
      <c r="W37" s="39"/>
      <c r="X37" s="39"/>
      <c r="Y37" s="40"/>
      <c r="Z37" s="42"/>
      <c r="AA37" s="43"/>
      <c r="AB37" s="44"/>
      <c r="AC37" s="41"/>
    </row>
    <row r="38" spans="2:29" ht="25.5" customHeight="1" x14ac:dyDescent="0.3">
      <c r="B38" s="328"/>
      <c r="C38" s="461" t="s">
        <v>36</v>
      </c>
      <c r="D38" s="372"/>
      <c r="E38" s="372"/>
      <c r="F38" s="372"/>
      <c r="G38" s="372"/>
      <c r="H38" s="372"/>
      <c r="I38" s="373"/>
      <c r="J38" s="57"/>
      <c r="K38" s="51" t="s">
        <v>32</v>
      </c>
      <c r="L38" s="58" t="s">
        <v>33</v>
      </c>
      <c r="M38" s="58" t="s">
        <v>33</v>
      </c>
      <c r="N38" s="5">
        <v>5</v>
      </c>
      <c r="O38" s="4">
        <v>2.25</v>
      </c>
      <c r="P38" s="17">
        <v>6.1</v>
      </c>
      <c r="Q38" s="101">
        <f t="shared" si="0"/>
        <v>2731.9639999999999</v>
      </c>
      <c r="R38" s="7">
        <f t="shared" si="1"/>
        <v>2738.0639999999999</v>
      </c>
      <c r="S38" s="59"/>
      <c r="T38" s="38"/>
      <c r="U38" s="246">
        <f t="shared" si="2"/>
        <v>9.8423589746249998E-2</v>
      </c>
      <c r="V38" s="324">
        <f t="shared" si="3"/>
        <v>55.913532694957134</v>
      </c>
      <c r="W38" s="39"/>
      <c r="X38" s="39"/>
      <c r="Y38" s="40"/>
      <c r="Z38" s="42"/>
      <c r="AA38" s="43"/>
      <c r="AB38" s="44"/>
      <c r="AC38" s="41"/>
    </row>
    <row r="39" spans="2:29" ht="25.5" customHeight="1" x14ac:dyDescent="0.3">
      <c r="B39" s="328"/>
      <c r="C39" s="461" t="s">
        <v>190</v>
      </c>
      <c r="D39" s="372"/>
      <c r="E39" s="372"/>
      <c r="F39" s="372"/>
      <c r="G39" s="372"/>
      <c r="H39" s="372"/>
      <c r="I39" s="373"/>
      <c r="J39" s="57"/>
      <c r="K39" s="51" t="s">
        <v>32</v>
      </c>
      <c r="L39" s="58" t="s">
        <v>33</v>
      </c>
      <c r="M39" s="58" t="s">
        <v>33</v>
      </c>
      <c r="N39" s="5">
        <v>5</v>
      </c>
      <c r="O39" s="4">
        <v>2.25</v>
      </c>
      <c r="P39" s="17">
        <v>6.1</v>
      </c>
      <c r="Q39" s="101">
        <f t="shared" si="0"/>
        <v>2738.0639999999999</v>
      </c>
      <c r="R39" s="7">
        <f t="shared" si="1"/>
        <v>2744.1639999999998</v>
      </c>
      <c r="S39" s="59"/>
      <c r="T39" s="38"/>
      <c r="U39" s="246">
        <f t="shared" si="2"/>
        <v>9.8423589746249998E-2</v>
      </c>
      <c r="V39" s="324">
        <f t="shared" si="3"/>
        <v>56.011956284703381</v>
      </c>
      <c r="W39" s="39"/>
      <c r="X39" s="39"/>
      <c r="Y39" s="40"/>
      <c r="Z39" s="42"/>
      <c r="AA39" s="43"/>
      <c r="AB39" s="44"/>
      <c r="AC39" s="41"/>
    </row>
    <row r="40" spans="2:29" ht="22.5" customHeight="1" x14ac:dyDescent="0.3">
      <c r="B40" s="328"/>
      <c r="C40" s="463" t="s">
        <v>194</v>
      </c>
      <c r="D40" s="464"/>
      <c r="E40" s="464"/>
      <c r="F40" s="464"/>
      <c r="G40" s="464"/>
      <c r="H40" s="464"/>
      <c r="I40" s="464"/>
      <c r="J40" s="308"/>
      <c r="K40" s="51" t="s">
        <v>32</v>
      </c>
      <c r="L40" s="58" t="s">
        <v>33</v>
      </c>
      <c r="M40" s="313" t="s">
        <v>160</v>
      </c>
      <c r="N40" s="50">
        <v>5</v>
      </c>
      <c r="O40" s="50">
        <v>2.25</v>
      </c>
      <c r="P40" s="37">
        <v>0.48</v>
      </c>
      <c r="Q40" s="101">
        <f t="shared" si="0"/>
        <v>2744.1639999999998</v>
      </c>
      <c r="R40" s="7">
        <f t="shared" ref="R40" si="12">Q40+P40</f>
        <v>2744.6439999999998</v>
      </c>
      <c r="S40" s="11"/>
      <c r="T40" s="38"/>
      <c r="U40" s="246">
        <f t="shared" si="2"/>
        <v>7.744807062E-3</v>
      </c>
      <c r="V40" s="324">
        <f t="shared" si="3"/>
        <v>56.019701091765377</v>
      </c>
      <c r="W40" s="39"/>
      <c r="X40" s="248"/>
      <c r="Y40" s="39"/>
    </row>
    <row r="41" spans="2:29" ht="28.5" customHeight="1" x14ac:dyDescent="0.3">
      <c r="B41" s="328"/>
      <c r="C41" s="465" t="s">
        <v>209</v>
      </c>
      <c r="D41" s="372"/>
      <c r="E41" s="372"/>
      <c r="F41" s="372"/>
      <c r="G41" s="372"/>
      <c r="H41" s="372"/>
      <c r="I41" s="373"/>
      <c r="J41" s="35"/>
      <c r="K41" s="361" t="s">
        <v>1</v>
      </c>
      <c r="L41" s="313" t="s">
        <v>160</v>
      </c>
      <c r="M41" s="313" t="s">
        <v>160</v>
      </c>
      <c r="N41" s="60">
        <v>3.5</v>
      </c>
      <c r="O41" s="60">
        <v>2.54</v>
      </c>
      <c r="P41" s="37">
        <v>947.06</v>
      </c>
      <c r="Q41" s="101">
        <f>Q42-P41</f>
        <v>2744.6439999999998</v>
      </c>
      <c r="R41" s="7">
        <f t="shared" si="1"/>
        <v>3691.7039999999997</v>
      </c>
      <c r="S41" s="11"/>
      <c r="T41" s="61"/>
      <c r="U41" s="246">
        <f t="shared" si="2"/>
        <v>19.473735049897169</v>
      </c>
      <c r="V41" s="324">
        <f t="shared" si="3"/>
        <v>75.493436141662542</v>
      </c>
      <c r="W41" s="39"/>
      <c r="X41" s="39"/>
      <c r="Y41" s="39"/>
    </row>
    <row r="42" spans="2:29" ht="22.5" customHeight="1" x14ac:dyDescent="0.3">
      <c r="B42" s="328"/>
      <c r="C42" s="473" t="s">
        <v>172</v>
      </c>
      <c r="D42" s="464"/>
      <c r="E42" s="464"/>
      <c r="F42" s="464"/>
      <c r="G42" s="464"/>
      <c r="H42" s="464"/>
      <c r="I42" s="464"/>
      <c r="J42" s="308"/>
      <c r="K42" s="51" t="s">
        <v>32</v>
      </c>
      <c r="L42" s="313" t="s">
        <v>160</v>
      </c>
      <c r="M42" s="309" t="s">
        <v>37</v>
      </c>
      <c r="N42" s="50">
        <v>5</v>
      </c>
      <c r="O42" s="50">
        <v>2.25</v>
      </c>
      <c r="P42" s="37">
        <v>0.4</v>
      </c>
      <c r="Q42" s="101">
        <f>Q43-P42</f>
        <v>3691.7039999999997</v>
      </c>
      <c r="R42" s="7">
        <f>Q42+P42</f>
        <v>3692.1039999999998</v>
      </c>
      <c r="S42" s="11"/>
      <c r="T42" s="38"/>
      <c r="U42" s="246">
        <f>0.0009714*O42*O42*P42*3.281</f>
        <v>6.454005885E-3</v>
      </c>
      <c r="V42" s="324">
        <f t="shared" si="3"/>
        <v>75.499890147547546</v>
      </c>
      <c r="W42" s="39"/>
      <c r="X42" s="39"/>
      <c r="Y42" s="39"/>
    </row>
    <row r="43" spans="2:29" ht="16.5" customHeight="1" x14ac:dyDescent="0.3">
      <c r="B43" s="328"/>
      <c r="C43" s="474" t="s">
        <v>250</v>
      </c>
      <c r="D43" s="475"/>
      <c r="E43" s="475"/>
      <c r="F43" s="475"/>
      <c r="G43" s="476"/>
      <c r="H43" s="480" t="s">
        <v>34</v>
      </c>
      <c r="I43" s="481"/>
      <c r="J43" s="471"/>
      <c r="K43" s="62" t="s">
        <v>32</v>
      </c>
      <c r="L43" s="459" t="s">
        <v>38</v>
      </c>
      <c r="M43" s="459" t="s">
        <v>39</v>
      </c>
      <c r="N43" s="482">
        <v>5</v>
      </c>
      <c r="O43" s="482">
        <v>2.25</v>
      </c>
      <c r="P43" s="37">
        <v>0.2</v>
      </c>
      <c r="Q43" s="101">
        <f t="shared" si="0"/>
        <v>3692.1039999999998</v>
      </c>
      <c r="R43" s="294">
        <f t="shared" si="1"/>
        <v>3692.3039999999996</v>
      </c>
      <c r="S43" s="63"/>
      <c r="T43" s="54">
        <f t="shared" si="4"/>
        <v>7306.9219238399992</v>
      </c>
      <c r="U43" s="246">
        <f t="shared" si="2"/>
        <v>3.2270029425E-3</v>
      </c>
      <c r="V43" s="324">
        <f t="shared" si="3"/>
        <v>75.503117150490041</v>
      </c>
      <c r="W43" s="39"/>
      <c r="X43" s="39"/>
      <c r="Y43" s="39"/>
    </row>
    <row r="44" spans="2:29" ht="17.25" customHeight="1" x14ac:dyDescent="0.3">
      <c r="B44" s="328"/>
      <c r="C44" s="477"/>
      <c r="D44" s="478"/>
      <c r="E44" s="478"/>
      <c r="F44" s="478"/>
      <c r="G44" s="479"/>
      <c r="H44" s="484" t="s">
        <v>35</v>
      </c>
      <c r="I44" s="485"/>
      <c r="J44" s="472"/>
      <c r="K44" s="62" t="s">
        <v>32</v>
      </c>
      <c r="L44" s="460"/>
      <c r="M44" s="460"/>
      <c r="N44" s="483"/>
      <c r="O44" s="483"/>
      <c r="P44" s="37">
        <v>0.1</v>
      </c>
      <c r="Q44" s="101">
        <f t="shared" si="0"/>
        <v>3692.3039999999996</v>
      </c>
      <c r="R44" s="7">
        <f t="shared" si="1"/>
        <v>3692.4039999999995</v>
      </c>
      <c r="S44" s="63"/>
      <c r="T44" s="54">
        <f t="shared" si="4"/>
        <v>7307.1198198399979</v>
      </c>
      <c r="U44" s="246">
        <f t="shared" si="2"/>
        <v>0</v>
      </c>
      <c r="V44" s="324">
        <f t="shared" si="3"/>
        <v>75.503117150490041</v>
      </c>
      <c r="W44" s="39"/>
      <c r="X44" s="39"/>
      <c r="Y44" s="39"/>
    </row>
    <row r="45" spans="2:29" ht="27" customHeight="1" x14ac:dyDescent="0.3">
      <c r="B45" s="329"/>
      <c r="C45" s="466" t="s">
        <v>40</v>
      </c>
      <c r="D45" s="467"/>
      <c r="E45" s="467"/>
      <c r="F45" s="467"/>
      <c r="G45" s="468"/>
      <c r="H45" s="469" t="s">
        <v>254</v>
      </c>
      <c r="I45" s="470"/>
      <c r="J45" s="64"/>
      <c r="K45" s="62" t="s">
        <v>32</v>
      </c>
      <c r="L45" s="57" t="s">
        <v>33</v>
      </c>
      <c r="M45" s="57" t="s">
        <v>33</v>
      </c>
      <c r="N45" s="50">
        <v>5.03</v>
      </c>
      <c r="O45" s="50">
        <v>2.25</v>
      </c>
      <c r="P45" s="65">
        <v>1.73</v>
      </c>
      <c r="Q45" s="101">
        <f t="shared" si="0"/>
        <v>3692.4039999999995</v>
      </c>
      <c r="R45" s="7">
        <f t="shared" si="1"/>
        <v>3694.1339999999996</v>
      </c>
      <c r="S45" s="66"/>
      <c r="T45" s="67">
        <f t="shared" si="4"/>
        <v>7310.5434206399987</v>
      </c>
      <c r="U45" s="246">
        <f t="shared" si="2"/>
        <v>2.7913575452625003E-2</v>
      </c>
      <c r="V45" s="324">
        <f t="shared" si="3"/>
        <v>75.531030725942671</v>
      </c>
      <c r="W45" s="39"/>
      <c r="X45" s="39"/>
      <c r="Y45" s="39"/>
    </row>
    <row r="46" spans="2:29" ht="26.25" customHeight="1" x14ac:dyDescent="0.3">
      <c r="B46" s="329"/>
      <c r="C46" s="434" t="s">
        <v>41</v>
      </c>
      <c r="D46" s="435"/>
      <c r="E46" s="435"/>
      <c r="F46" s="435"/>
      <c r="G46" s="435"/>
      <c r="H46" s="435"/>
      <c r="I46" s="435"/>
      <c r="J46" s="68"/>
      <c r="K46" s="351" t="s">
        <v>32</v>
      </c>
      <c r="L46" s="69" t="s">
        <v>33</v>
      </c>
      <c r="M46" s="69" t="s">
        <v>33</v>
      </c>
      <c r="N46" s="70">
        <v>5.03</v>
      </c>
      <c r="O46" s="305">
        <v>2.2799999999999998</v>
      </c>
      <c r="P46" s="312">
        <v>1.048</v>
      </c>
      <c r="Q46" s="101">
        <f t="shared" si="0"/>
        <v>3694.1339999999996</v>
      </c>
      <c r="R46" s="7">
        <f t="shared" si="1"/>
        <v>3695.1819999999993</v>
      </c>
      <c r="S46" s="11"/>
      <c r="T46" s="61">
        <f t="shared" si="4"/>
        <v>7312.6173707199996</v>
      </c>
      <c r="U46" s="246">
        <f t="shared" si="2"/>
        <v>1.7363421429050879E-2</v>
      </c>
      <c r="V46" s="324">
        <f t="shared" si="3"/>
        <v>75.548394147371724</v>
      </c>
      <c r="W46" s="39"/>
      <c r="X46" s="39"/>
      <c r="Y46" s="39"/>
    </row>
    <row r="47" spans="2:29" s="56" customFormat="1" ht="30.75" customHeight="1" thickBot="1" x14ac:dyDescent="0.35">
      <c r="B47" s="329"/>
      <c r="C47" s="450" t="s">
        <v>42</v>
      </c>
      <c r="D47" s="451"/>
      <c r="E47" s="451"/>
      <c r="F47" s="451"/>
      <c r="G47" s="451"/>
      <c r="H47" s="451"/>
      <c r="I47" s="451"/>
      <c r="J47" s="35"/>
      <c r="K47" s="71" t="s">
        <v>32</v>
      </c>
      <c r="L47" s="16" t="s">
        <v>33</v>
      </c>
      <c r="M47" s="16" t="s">
        <v>33</v>
      </c>
      <c r="N47" s="316">
        <v>5</v>
      </c>
      <c r="O47" s="50">
        <v>2.25</v>
      </c>
      <c r="P47" s="37">
        <v>1.65</v>
      </c>
      <c r="Q47" s="101">
        <f t="shared" si="0"/>
        <v>3695.1819999999993</v>
      </c>
      <c r="R47" s="7">
        <f t="shared" si="1"/>
        <v>3696.8319999999994</v>
      </c>
      <c r="S47" s="299"/>
      <c r="T47" s="300">
        <f t="shared" si="4"/>
        <v>7315.8826547199988</v>
      </c>
      <c r="U47" s="301">
        <f t="shared" si="2"/>
        <v>2.6622774275624997E-2</v>
      </c>
      <c r="V47" s="324">
        <f t="shared" si="3"/>
        <v>75.575016921647347</v>
      </c>
      <c r="W47" s="29"/>
      <c r="X47" s="29"/>
      <c r="Y47" s="29"/>
    </row>
    <row r="48" spans="2:29" ht="49.05" customHeight="1" x14ac:dyDescent="0.3">
      <c r="B48" s="329"/>
      <c r="C48" s="452" t="s">
        <v>255</v>
      </c>
      <c r="D48" s="453"/>
      <c r="E48" s="453"/>
      <c r="F48" s="453"/>
      <c r="G48" s="453"/>
      <c r="H48" s="454" t="s">
        <v>175</v>
      </c>
      <c r="I48" s="455"/>
      <c r="J48" s="57"/>
      <c r="K48" s="62" t="s">
        <v>32</v>
      </c>
      <c r="L48" s="57" t="s">
        <v>33</v>
      </c>
      <c r="M48" s="57" t="s">
        <v>33</v>
      </c>
      <c r="N48" s="50">
        <v>5.03</v>
      </c>
      <c r="O48" s="50">
        <v>2.25</v>
      </c>
      <c r="P48" s="65">
        <v>8.58</v>
      </c>
      <c r="Q48" s="101">
        <f t="shared" si="0"/>
        <v>3696.8319999999994</v>
      </c>
      <c r="R48" s="7">
        <f t="shared" si="1"/>
        <v>3705.4119999999994</v>
      </c>
      <c r="S48" s="296"/>
      <c r="T48" s="297">
        <f t="shared" si="4"/>
        <v>7332.8621315199989</v>
      </c>
      <c r="U48" s="298">
        <f t="shared" si="2"/>
        <v>0.13843842623325001</v>
      </c>
      <c r="V48" s="324">
        <f t="shared" si="3"/>
        <v>75.713455347880597</v>
      </c>
      <c r="W48" s="39"/>
      <c r="X48" s="39"/>
      <c r="Y48" s="39"/>
    </row>
    <row r="49" spans="2:25" ht="20.25" customHeight="1" x14ac:dyDescent="0.3">
      <c r="B49" s="328"/>
      <c r="C49" s="456" t="s">
        <v>41</v>
      </c>
      <c r="D49" s="457"/>
      <c r="E49" s="457"/>
      <c r="F49" s="457"/>
      <c r="G49" s="457"/>
      <c r="H49" s="457"/>
      <c r="I49" s="457"/>
      <c r="J49" s="280"/>
      <c r="K49" s="281" t="s">
        <v>32</v>
      </c>
      <c r="L49" s="282" t="s">
        <v>33</v>
      </c>
      <c r="M49" s="282" t="s">
        <v>33</v>
      </c>
      <c r="N49" s="77">
        <v>5.03</v>
      </c>
      <c r="O49" s="78">
        <v>2.2799999999999998</v>
      </c>
      <c r="P49" s="283">
        <v>1.048</v>
      </c>
      <c r="Q49" s="284">
        <f t="shared" si="0"/>
        <v>3705.4119999999994</v>
      </c>
      <c r="R49" s="285">
        <f t="shared" si="1"/>
        <v>3706.4599999999991</v>
      </c>
      <c r="S49" s="11"/>
      <c r="T49" s="286">
        <f t="shared" si="4"/>
        <v>7334.936081599998</v>
      </c>
      <c r="U49" s="287">
        <f t="shared" si="2"/>
        <v>1.7363421429050879E-2</v>
      </c>
      <c r="V49" s="324">
        <f t="shared" si="3"/>
        <v>75.73081876930965</v>
      </c>
      <c r="W49" s="39"/>
      <c r="X49" s="39"/>
      <c r="Y49" s="39"/>
    </row>
    <row r="50" spans="2:25" s="56" customFormat="1" ht="24" customHeight="1" x14ac:dyDescent="0.3">
      <c r="B50" s="328"/>
      <c r="C50" s="450" t="s">
        <v>43</v>
      </c>
      <c r="D50" s="458"/>
      <c r="E50" s="458"/>
      <c r="F50" s="458"/>
      <c r="G50" s="458"/>
      <c r="H50" s="458"/>
      <c r="I50" s="458"/>
      <c r="J50" s="292"/>
      <c r="K50" s="46" t="s">
        <v>32</v>
      </c>
      <c r="L50" s="292" t="s">
        <v>33</v>
      </c>
      <c r="M50" s="292" t="s">
        <v>33</v>
      </c>
      <c r="N50" s="74">
        <v>5</v>
      </c>
      <c r="O50" s="50">
        <v>2.5</v>
      </c>
      <c r="P50" s="65">
        <v>2.0499999999999998</v>
      </c>
      <c r="Q50" s="101">
        <f t="shared" si="0"/>
        <v>3706.4599999999991</v>
      </c>
      <c r="R50" s="7">
        <f t="shared" si="1"/>
        <v>3708.5099999999993</v>
      </c>
      <c r="S50" s="293"/>
      <c r="T50" s="54">
        <f t="shared" si="4"/>
        <v>7338.9929495999977</v>
      </c>
      <c r="U50" s="246">
        <f t="shared" si="2"/>
        <v>4.08355310625E-2</v>
      </c>
      <c r="V50" s="324">
        <f t="shared" si="3"/>
        <v>75.771654300372148</v>
      </c>
      <c r="W50" s="29"/>
      <c r="X50" s="29"/>
      <c r="Y50" s="29"/>
    </row>
    <row r="51" spans="2:25" s="56" customFormat="1" ht="24" customHeight="1" x14ac:dyDescent="0.3">
      <c r="B51" s="328"/>
      <c r="C51" s="434" t="s">
        <v>43</v>
      </c>
      <c r="D51" s="435"/>
      <c r="E51" s="435"/>
      <c r="F51" s="435"/>
      <c r="G51" s="435"/>
      <c r="H51" s="435"/>
      <c r="I51" s="435"/>
      <c r="J51" s="68"/>
      <c r="K51" s="351" t="s">
        <v>32</v>
      </c>
      <c r="L51" s="68" t="s">
        <v>33</v>
      </c>
      <c r="M51" s="68" t="s">
        <v>33</v>
      </c>
      <c r="N51" s="74">
        <v>5</v>
      </c>
      <c r="O51" s="305">
        <v>2.5</v>
      </c>
      <c r="P51" s="65">
        <v>2.0499999999999998</v>
      </c>
      <c r="Q51" s="288">
        <f t="shared" si="0"/>
        <v>3708.5099999999993</v>
      </c>
      <c r="R51" s="289">
        <f t="shared" si="1"/>
        <v>3710.5599999999995</v>
      </c>
      <c r="S51" s="33"/>
      <c r="T51" s="290">
        <f t="shared" si="4"/>
        <v>7343.0498175999992</v>
      </c>
      <c r="U51" s="291">
        <f t="shared" si="2"/>
        <v>4.08355310625E-2</v>
      </c>
      <c r="V51" s="324">
        <f t="shared" si="3"/>
        <v>75.812489831434647</v>
      </c>
      <c r="W51" s="29"/>
      <c r="X51" s="29"/>
      <c r="Y51" s="29"/>
    </row>
    <row r="52" spans="2:25" s="56" customFormat="1" ht="27" customHeight="1" x14ac:dyDescent="0.3">
      <c r="B52" s="328"/>
      <c r="C52" s="436" t="s">
        <v>44</v>
      </c>
      <c r="D52" s="437"/>
      <c r="E52" s="437"/>
      <c r="F52" s="437"/>
      <c r="G52" s="437"/>
      <c r="H52" s="437"/>
      <c r="I52" s="437"/>
      <c r="J52" s="310"/>
      <c r="K52" s="75" t="s">
        <v>32</v>
      </c>
      <c r="L52" s="76" t="s">
        <v>33</v>
      </c>
      <c r="M52" s="76" t="s">
        <v>33</v>
      </c>
      <c r="N52" s="77">
        <v>5</v>
      </c>
      <c r="O52" s="78">
        <v>2.25</v>
      </c>
      <c r="P52" s="37">
        <v>1.7</v>
      </c>
      <c r="Q52" s="101">
        <f t="shared" si="0"/>
        <v>3710.5599999999995</v>
      </c>
      <c r="R52" s="7">
        <f t="shared" si="1"/>
        <v>3712.2599999999993</v>
      </c>
      <c r="S52" s="33"/>
      <c r="T52" s="79">
        <f t="shared" si="4"/>
        <v>7346.4140495999982</v>
      </c>
      <c r="U52" s="246">
        <f t="shared" si="2"/>
        <v>2.7429525011250001E-2</v>
      </c>
      <c r="V52" s="324">
        <f t="shared" si="3"/>
        <v>75.83991935644589</v>
      </c>
      <c r="W52" s="29"/>
      <c r="X52" s="29"/>
      <c r="Y52" s="29"/>
    </row>
    <row r="53" spans="2:25" ht="60" customHeight="1" x14ac:dyDescent="0.3">
      <c r="B53" s="328"/>
      <c r="C53" s="438" t="s">
        <v>174</v>
      </c>
      <c r="D53" s="439"/>
      <c r="E53" s="439"/>
      <c r="F53" s="439"/>
      <c r="G53" s="440"/>
      <c r="H53" s="441" t="s">
        <v>226</v>
      </c>
      <c r="I53" s="442"/>
      <c r="J53" s="35"/>
      <c r="K53" s="62" t="s">
        <v>32</v>
      </c>
      <c r="L53" s="57" t="s">
        <v>33</v>
      </c>
      <c r="M53" s="57" t="s">
        <v>33</v>
      </c>
      <c r="N53" s="80">
        <v>5</v>
      </c>
      <c r="O53" s="50">
        <v>2.25</v>
      </c>
      <c r="P53" s="65">
        <v>7.27</v>
      </c>
      <c r="Q53" s="101">
        <f t="shared" si="0"/>
        <v>3712.2599999999993</v>
      </c>
      <c r="R53" s="7">
        <f t="shared" si="1"/>
        <v>3719.5299999999993</v>
      </c>
      <c r="S53" s="72"/>
      <c r="T53" s="73">
        <f t="shared" si="4"/>
        <v>7360.801088799999</v>
      </c>
      <c r="U53" s="246">
        <f t="shared" si="2"/>
        <v>0.117301556959875</v>
      </c>
      <c r="V53" s="324">
        <f t="shared" si="3"/>
        <v>75.957220913405763</v>
      </c>
      <c r="W53" s="39"/>
      <c r="X53" s="39"/>
      <c r="Y53" s="39"/>
    </row>
    <row r="54" spans="2:25" ht="31.05" customHeight="1" x14ac:dyDescent="0.3">
      <c r="B54" s="328"/>
      <c r="C54" s="443" t="s">
        <v>45</v>
      </c>
      <c r="D54" s="444"/>
      <c r="E54" s="444"/>
      <c r="F54" s="444"/>
      <c r="G54" s="445"/>
      <c r="H54" s="446" t="s">
        <v>253</v>
      </c>
      <c r="I54" s="447"/>
      <c r="J54" s="35"/>
      <c r="K54" s="62" t="s">
        <v>32</v>
      </c>
      <c r="L54" s="57" t="s">
        <v>33</v>
      </c>
      <c r="M54" s="57" t="s">
        <v>33</v>
      </c>
      <c r="N54" s="50">
        <v>5</v>
      </c>
      <c r="O54" s="50">
        <v>2.25</v>
      </c>
      <c r="P54" s="65">
        <v>1.0900000000000001</v>
      </c>
      <c r="Q54" s="101">
        <f>Q55-P54</f>
        <v>3719.5299999999993</v>
      </c>
      <c r="R54" s="7">
        <f t="shared" si="1"/>
        <v>3720.6199999999994</v>
      </c>
      <c r="S54" s="72"/>
      <c r="T54" s="73">
        <f t="shared" si="4"/>
        <v>7362.9581551999991</v>
      </c>
      <c r="U54" s="246">
        <f t="shared" si="2"/>
        <v>1.7587166036624999E-2</v>
      </c>
      <c r="V54" s="324">
        <f t="shared" si="3"/>
        <v>75.974808079442383</v>
      </c>
      <c r="W54" s="39"/>
      <c r="X54" s="39"/>
      <c r="Y54" s="39"/>
    </row>
    <row r="55" spans="2:25" ht="40.049999999999997" customHeight="1" x14ac:dyDescent="0.3">
      <c r="B55" s="328"/>
      <c r="C55" s="429" t="s">
        <v>46</v>
      </c>
      <c r="D55" s="430"/>
      <c r="E55" s="430"/>
      <c r="F55" s="430"/>
      <c r="G55" s="430"/>
      <c r="H55" s="448" t="s">
        <v>233</v>
      </c>
      <c r="I55" s="449"/>
      <c r="J55" s="304"/>
      <c r="K55" s="62" t="s">
        <v>32</v>
      </c>
      <c r="L55" s="57" t="s">
        <v>33</v>
      </c>
      <c r="M55" s="315" t="s">
        <v>33</v>
      </c>
      <c r="N55" s="305">
        <v>5.03</v>
      </c>
      <c r="O55" s="305">
        <v>2.25</v>
      </c>
      <c r="P55" s="315">
        <v>6.34</v>
      </c>
      <c r="Q55" s="101">
        <f>Q56-P55</f>
        <v>3720.6199999999994</v>
      </c>
      <c r="R55" s="7">
        <f>Q55+P55</f>
        <v>3726.9599999999996</v>
      </c>
      <c r="S55" s="81"/>
      <c r="T55" s="82"/>
      <c r="U55" s="246">
        <f t="shared" si="2"/>
        <v>0.10229599327725</v>
      </c>
      <c r="V55" s="324">
        <f t="shared" si="3"/>
        <v>76.077104072719635</v>
      </c>
      <c r="W55" s="39"/>
      <c r="X55" s="39"/>
      <c r="Y55" s="39"/>
    </row>
    <row r="56" spans="2:25" ht="30.75" customHeight="1" x14ac:dyDescent="0.3">
      <c r="B56" s="328"/>
      <c r="C56" s="429" t="s">
        <v>47</v>
      </c>
      <c r="D56" s="430"/>
      <c r="E56" s="430"/>
      <c r="F56" s="430"/>
      <c r="G56" s="430"/>
      <c r="H56" s="431" t="s">
        <v>215</v>
      </c>
      <c r="I56" s="432"/>
      <c r="J56" s="83"/>
      <c r="K56" s="84" t="s">
        <v>32</v>
      </c>
      <c r="L56" s="57" t="s">
        <v>33</v>
      </c>
      <c r="M56" s="315" t="s">
        <v>33</v>
      </c>
      <c r="N56" s="305">
        <v>5.25</v>
      </c>
      <c r="O56" s="305">
        <v>2.25</v>
      </c>
      <c r="P56" s="312">
        <v>1.53</v>
      </c>
      <c r="Q56" s="101">
        <f t="shared" si="0"/>
        <v>3726.9599999999996</v>
      </c>
      <c r="R56" s="7">
        <f t="shared" si="1"/>
        <v>3728.49</v>
      </c>
      <c r="S56" s="81"/>
      <c r="T56" s="82">
        <f t="shared" ref="T56" si="13">R56*0.1706*11.6</f>
        <v>7378.5325703999997</v>
      </c>
      <c r="U56" s="246">
        <f t="shared" si="2"/>
        <v>2.4686572510125002E-2</v>
      </c>
      <c r="V56" s="324">
        <f t="shared" si="3"/>
        <v>76.101790645229755</v>
      </c>
      <c r="W56" s="39"/>
      <c r="X56" s="39"/>
      <c r="Y56" s="39"/>
    </row>
    <row r="57" spans="2:25" ht="24.75" customHeight="1" x14ac:dyDescent="0.3">
      <c r="B57" s="328"/>
      <c r="C57" s="433" t="s">
        <v>48</v>
      </c>
      <c r="D57" s="433"/>
      <c r="E57" s="433"/>
      <c r="F57" s="433"/>
      <c r="G57" s="433"/>
      <c r="H57" s="433"/>
      <c r="I57" s="433"/>
      <c r="J57" s="57"/>
      <c r="K57" s="62" t="s">
        <v>32</v>
      </c>
      <c r="L57" s="57" t="s">
        <v>49</v>
      </c>
      <c r="M57" s="57" t="s">
        <v>49</v>
      </c>
      <c r="N57" s="50">
        <v>5</v>
      </c>
      <c r="O57" s="50">
        <v>2.25</v>
      </c>
      <c r="P57" s="311">
        <v>1.115</v>
      </c>
      <c r="Q57" s="101">
        <f t="shared" si="0"/>
        <v>3728.49</v>
      </c>
      <c r="R57" s="7">
        <f t="shared" si="1"/>
        <v>3729.6049999999996</v>
      </c>
      <c r="S57" s="85"/>
      <c r="T57" s="86">
        <f t="shared" si="4"/>
        <v>7380.7391107999983</v>
      </c>
      <c r="U57" s="246">
        <f t="shared" si="2"/>
        <v>1.79905414044375E-2</v>
      </c>
      <c r="V57" s="324">
        <f t="shared" si="3"/>
        <v>76.119781186634199</v>
      </c>
      <c r="W57" s="39"/>
      <c r="X57" s="39"/>
      <c r="Y57" s="39"/>
    </row>
    <row r="58" spans="2:25" ht="40.5" customHeight="1" x14ac:dyDescent="0.3">
      <c r="B58" s="328"/>
      <c r="C58" s="416" t="s">
        <v>50</v>
      </c>
      <c r="D58" s="417"/>
      <c r="E58" s="417"/>
      <c r="F58" s="417"/>
      <c r="G58" s="417"/>
      <c r="H58" s="417"/>
      <c r="I58" s="418"/>
      <c r="J58" s="423"/>
      <c r="K58" s="425" t="s">
        <v>32</v>
      </c>
      <c r="L58" s="427" t="s">
        <v>33</v>
      </c>
      <c r="M58" s="427" t="s">
        <v>51</v>
      </c>
      <c r="N58" s="414">
        <v>5.81</v>
      </c>
      <c r="O58" s="414">
        <v>2.25</v>
      </c>
      <c r="P58" s="65">
        <v>2.0499999999999998</v>
      </c>
      <c r="Q58" s="101">
        <f t="shared" si="0"/>
        <v>3729.6049999999996</v>
      </c>
      <c r="R58" s="294">
        <f>Q58+P58</f>
        <v>3731.6549999999997</v>
      </c>
      <c r="S58" s="11"/>
      <c r="T58" s="38">
        <f t="shared" si="4"/>
        <v>7384.7959787999989</v>
      </c>
      <c r="U58" s="246">
        <f t="shared" si="2"/>
        <v>3.3076780160624999E-2</v>
      </c>
      <c r="V58" s="324">
        <f t="shared" si="3"/>
        <v>76.152857966794826</v>
      </c>
      <c r="W58" s="39"/>
      <c r="X58" s="39"/>
      <c r="Y58" s="39"/>
    </row>
    <row r="59" spans="2:25" ht="33.75" customHeight="1" x14ac:dyDescent="0.3">
      <c r="B59" s="328"/>
      <c r="C59" s="416" t="s">
        <v>50</v>
      </c>
      <c r="D59" s="417"/>
      <c r="E59" s="417"/>
      <c r="F59" s="417"/>
      <c r="G59" s="417"/>
      <c r="H59" s="417"/>
      <c r="I59" s="418"/>
      <c r="J59" s="424"/>
      <c r="K59" s="426"/>
      <c r="L59" s="428"/>
      <c r="M59" s="428"/>
      <c r="N59" s="415"/>
      <c r="O59" s="415"/>
      <c r="P59" s="65">
        <v>1.3</v>
      </c>
      <c r="Q59" s="101">
        <f t="shared" si="0"/>
        <v>3731.6549999999997</v>
      </c>
      <c r="R59" s="7">
        <f t="shared" si="1"/>
        <v>3732.9549999999999</v>
      </c>
      <c r="S59" s="11"/>
      <c r="T59" s="38">
        <f t="shared" si="4"/>
        <v>7387.3686268000001</v>
      </c>
      <c r="U59" s="246">
        <f t="shared" si="2"/>
        <v>0</v>
      </c>
      <c r="V59" s="324">
        <f t="shared" si="3"/>
        <v>76.152857966794826</v>
      </c>
      <c r="W59" s="39"/>
      <c r="X59" s="39"/>
      <c r="Y59" s="39"/>
    </row>
    <row r="60" spans="2:25" s="93" customFormat="1" ht="21.75" customHeight="1" x14ac:dyDescent="0.3">
      <c r="B60" s="328"/>
      <c r="C60" s="419" t="s">
        <v>52</v>
      </c>
      <c r="D60" s="419"/>
      <c r="E60" s="419"/>
      <c r="F60" s="419"/>
      <c r="G60" s="419"/>
      <c r="H60" s="419"/>
      <c r="I60" s="419"/>
      <c r="J60" s="87"/>
      <c r="K60" s="62" t="s">
        <v>32</v>
      </c>
      <c r="L60" s="57" t="s">
        <v>33</v>
      </c>
      <c r="M60" s="88" t="s">
        <v>53</v>
      </c>
      <c r="N60" s="89">
        <v>5</v>
      </c>
      <c r="O60" s="89">
        <v>2.25</v>
      </c>
      <c r="P60" s="89">
        <v>0.46</v>
      </c>
      <c r="Q60" s="101">
        <f t="shared" si="0"/>
        <v>3732.9549999999999</v>
      </c>
      <c r="R60" s="7">
        <f t="shared" si="1"/>
        <v>3733.415</v>
      </c>
      <c r="S60" s="90"/>
      <c r="T60" s="91">
        <f t="shared" si="4"/>
        <v>7388.2789484000004</v>
      </c>
      <c r="U60" s="246">
        <f t="shared" si="2"/>
        <v>7.4221067677500002E-3</v>
      </c>
      <c r="V60" s="324">
        <f t="shared" si="3"/>
        <v>76.160280073562575</v>
      </c>
      <c r="W60" s="92"/>
      <c r="X60" s="92"/>
      <c r="Y60" s="92"/>
    </row>
    <row r="61" spans="2:25" ht="25.5" customHeight="1" x14ac:dyDescent="0.3">
      <c r="B61" s="328"/>
      <c r="C61" s="420" t="s">
        <v>54</v>
      </c>
      <c r="D61" s="421"/>
      <c r="E61" s="421"/>
      <c r="F61" s="421"/>
      <c r="G61" s="421"/>
      <c r="H61" s="421"/>
      <c r="I61" s="422"/>
      <c r="J61" s="94"/>
      <c r="K61" s="46" t="s">
        <v>32</v>
      </c>
      <c r="L61" s="57" t="s">
        <v>53</v>
      </c>
      <c r="M61" s="95" t="s">
        <v>53</v>
      </c>
      <c r="N61" s="96">
        <v>5</v>
      </c>
      <c r="O61" s="96">
        <v>2.25</v>
      </c>
      <c r="P61" s="89">
        <v>1.4850000000000001</v>
      </c>
      <c r="Q61" s="101">
        <f>Q62-P61</f>
        <v>3733.415</v>
      </c>
      <c r="R61" s="7">
        <f t="shared" si="1"/>
        <v>3734.9</v>
      </c>
      <c r="S61" s="97"/>
      <c r="T61" s="98">
        <f t="shared" si="4"/>
        <v>7391.2177039999997</v>
      </c>
      <c r="U61" s="246">
        <f t="shared" si="2"/>
        <v>2.3960496848062503E-2</v>
      </c>
      <c r="V61" s="324">
        <f t="shared" si="3"/>
        <v>76.184240570410637</v>
      </c>
      <c r="W61" s="39"/>
      <c r="X61" s="39"/>
      <c r="Y61" s="39"/>
    </row>
    <row r="62" spans="2:25" ht="24" customHeight="1" x14ac:dyDescent="0.3">
      <c r="B62" s="328"/>
      <c r="C62" s="420" t="s">
        <v>55</v>
      </c>
      <c r="D62" s="421"/>
      <c r="E62" s="421"/>
      <c r="F62" s="421"/>
      <c r="G62" s="421"/>
      <c r="H62" s="421"/>
      <c r="I62" s="422"/>
      <c r="J62" s="99"/>
      <c r="K62" s="62" t="s">
        <v>32</v>
      </c>
      <c r="L62" s="57" t="s">
        <v>53</v>
      </c>
      <c r="M62" s="88" t="s">
        <v>56</v>
      </c>
      <c r="N62" s="96">
        <v>5</v>
      </c>
      <c r="O62" s="96">
        <v>2.25</v>
      </c>
      <c r="P62" s="89">
        <v>0.4</v>
      </c>
      <c r="Q62" s="101">
        <f>Q63-P62</f>
        <v>3734.9</v>
      </c>
      <c r="R62" s="7">
        <f t="shared" si="1"/>
        <v>3735.3</v>
      </c>
      <c r="S62" s="97"/>
      <c r="T62" s="98"/>
      <c r="U62" s="246">
        <f t="shared" si="2"/>
        <v>6.454005885E-3</v>
      </c>
      <c r="V62" s="324">
        <f t="shared" si="3"/>
        <v>76.190694576295641</v>
      </c>
      <c r="W62" s="39"/>
      <c r="X62" s="39"/>
      <c r="Y62" s="39"/>
    </row>
    <row r="63" spans="2:25" ht="21.75" customHeight="1" x14ac:dyDescent="0.3">
      <c r="B63" s="328"/>
      <c r="C63" s="409" t="s">
        <v>57</v>
      </c>
      <c r="D63" s="410"/>
      <c r="E63" s="410"/>
      <c r="F63" s="410"/>
      <c r="G63" s="410"/>
      <c r="H63" s="410"/>
      <c r="I63" s="411"/>
      <c r="J63" s="100"/>
      <c r="K63" s="71" t="s">
        <v>58</v>
      </c>
      <c r="L63" s="17" t="s">
        <v>56</v>
      </c>
      <c r="M63" s="19" t="s">
        <v>59</v>
      </c>
      <c r="N63" s="101">
        <v>3.78</v>
      </c>
      <c r="O63" s="101">
        <v>2.44</v>
      </c>
      <c r="P63" s="6">
        <v>0.22</v>
      </c>
      <c r="Q63" s="101">
        <f>Q64-P63</f>
        <v>3735.3</v>
      </c>
      <c r="R63" s="7">
        <f t="shared" si="1"/>
        <v>3735.52</v>
      </c>
      <c r="S63" s="14"/>
      <c r="T63" s="102"/>
      <c r="U63" s="246">
        <f t="shared" si="2"/>
        <v>4.1745211240127996E-3</v>
      </c>
      <c r="V63" s="324">
        <f t="shared" si="3"/>
        <v>76.194869097419655</v>
      </c>
      <c r="W63" s="39"/>
      <c r="X63" s="39"/>
      <c r="Y63" s="39"/>
    </row>
    <row r="64" spans="2:25" ht="31.5" customHeight="1" x14ac:dyDescent="0.3">
      <c r="B64" s="328"/>
      <c r="C64" s="409" t="s">
        <v>232</v>
      </c>
      <c r="D64" s="410"/>
      <c r="E64" s="410"/>
      <c r="F64" s="410"/>
      <c r="G64" s="410"/>
      <c r="H64" s="410"/>
      <c r="I64" s="411"/>
      <c r="J64" s="103"/>
      <c r="K64" s="362" t="s">
        <v>1</v>
      </c>
      <c r="L64" s="17" t="s">
        <v>56</v>
      </c>
      <c r="M64" s="17" t="s">
        <v>56</v>
      </c>
      <c r="N64" s="96">
        <v>3.625</v>
      </c>
      <c r="O64" s="96">
        <v>2.44</v>
      </c>
      <c r="P64" s="6">
        <v>9.52</v>
      </c>
      <c r="Q64" s="101">
        <f t="shared" ref="Q64:Q76" si="14">Q65-P64</f>
        <v>3735.52</v>
      </c>
      <c r="R64" s="7">
        <f t="shared" si="1"/>
        <v>3745.04</v>
      </c>
      <c r="S64" s="97"/>
      <c r="T64" s="98"/>
      <c r="U64" s="246">
        <f t="shared" ref="U64" si="15">0.0009714*O64*O64*P64*3.281</f>
        <v>0.18064291409364483</v>
      </c>
      <c r="V64" s="324">
        <f t="shared" si="3"/>
        <v>76.375512011513294</v>
      </c>
      <c r="W64" s="39"/>
      <c r="X64" s="39"/>
      <c r="Y64" s="39"/>
    </row>
    <row r="65" spans="2:25" ht="31.5" customHeight="1" x14ac:dyDescent="0.3">
      <c r="B65" s="328"/>
      <c r="C65" s="409" t="s">
        <v>228</v>
      </c>
      <c r="D65" s="410"/>
      <c r="E65" s="410"/>
      <c r="F65" s="410"/>
      <c r="G65" s="410"/>
      <c r="H65" s="410"/>
      <c r="I65" s="411"/>
      <c r="J65" s="103"/>
      <c r="K65" s="71" t="s">
        <v>58</v>
      </c>
      <c r="L65" s="17" t="s">
        <v>56</v>
      </c>
      <c r="M65" s="17" t="s">
        <v>56</v>
      </c>
      <c r="N65" s="96">
        <v>3.625</v>
      </c>
      <c r="O65" s="96">
        <v>2.44</v>
      </c>
      <c r="P65" s="6">
        <v>6.2</v>
      </c>
      <c r="Q65" s="101">
        <f t="shared" si="14"/>
        <v>3745.04</v>
      </c>
      <c r="R65" s="7">
        <f t="shared" si="1"/>
        <v>3751.24</v>
      </c>
      <c r="S65" s="97"/>
      <c r="T65" s="98"/>
      <c r="U65" s="246">
        <f t="shared" si="2"/>
        <v>0.11764559531308802</v>
      </c>
      <c r="V65" s="324">
        <f t="shared" si="3"/>
        <v>76.493157606826387</v>
      </c>
      <c r="W65" s="39"/>
      <c r="X65" s="39"/>
      <c r="Y65" s="39"/>
    </row>
    <row r="66" spans="2:25" ht="21.75" customHeight="1" x14ac:dyDescent="0.3">
      <c r="B66" s="328"/>
      <c r="C66" s="409" t="s">
        <v>60</v>
      </c>
      <c r="D66" s="410"/>
      <c r="E66" s="410"/>
      <c r="F66" s="410"/>
      <c r="G66" s="410"/>
      <c r="H66" s="410"/>
      <c r="I66" s="411"/>
      <c r="J66" s="100"/>
      <c r="K66" s="71" t="s">
        <v>58</v>
      </c>
      <c r="L66" s="17" t="s">
        <v>56</v>
      </c>
      <c r="M66" s="19" t="s">
        <v>59</v>
      </c>
      <c r="N66" s="101">
        <v>3.78</v>
      </c>
      <c r="O66" s="101">
        <v>2.44</v>
      </c>
      <c r="P66" s="6">
        <v>0.68</v>
      </c>
      <c r="Q66" s="101">
        <f t="shared" si="14"/>
        <v>3751.24</v>
      </c>
      <c r="R66" s="7">
        <f t="shared" si="1"/>
        <v>3751.9199999999996</v>
      </c>
      <c r="S66" s="14"/>
      <c r="T66" s="102"/>
      <c r="U66" s="246">
        <f t="shared" si="2"/>
        <v>1.2903065292403202E-2</v>
      </c>
      <c r="V66" s="324">
        <f t="shared" si="3"/>
        <v>76.506060672118792</v>
      </c>
      <c r="W66" s="39"/>
      <c r="X66" s="39"/>
      <c r="Y66" s="39"/>
    </row>
    <row r="67" spans="2:25" ht="31.5" customHeight="1" x14ac:dyDescent="0.3">
      <c r="B67" s="328"/>
      <c r="C67" s="409" t="s">
        <v>229</v>
      </c>
      <c r="D67" s="410"/>
      <c r="E67" s="410"/>
      <c r="F67" s="410"/>
      <c r="G67" s="410"/>
      <c r="H67" s="410"/>
      <c r="I67" s="411"/>
      <c r="J67" s="103"/>
      <c r="K67" s="362" t="s">
        <v>1</v>
      </c>
      <c r="L67" s="17" t="s">
        <v>56</v>
      </c>
      <c r="M67" s="17" t="s">
        <v>56</v>
      </c>
      <c r="N67" s="96">
        <v>3.625</v>
      </c>
      <c r="O67" s="96">
        <v>2.44</v>
      </c>
      <c r="P67" s="6">
        <v>9.52</v>
      </c>
      <c r="Q67" s="101">
        <f t="shared" si="14"/>
        <v>3751.9199999999996</v>
      </c>
      <c r="R67" s="7">
        <f t="shared" si="1"/>
        <v>3761.4399999999996</v>
      </c>
      <c r="S67" s="97"/>
      <c r="T67" s="98"/>
      <c r="U67" s="246">
        <f t="shared" si="2"/>
        <v>0.18064291409364483</v>
      </c>
      <c r="V67" s="324">
        <f t="shared" si="3"/>
        <v>76.686703586212431</v>
      </c>
      <c r="W67" s="39"/>
      <c r="X67" s="39"/>
      <c r="Y67" s="39"/>
    </row>
    <row r="68" spans="2:25" ht="25.5" customHeight="1" x14ac:dyDescent="0.3">
      <c r="B68" s="328"/>
      <c r="C68" s="412" t="s">
        <v>197</v>
      </c>
      <c r="D68" s="372"/>
      <c r="E68" s="372"/>
      <c r="F68" s="372"/>
      <c r="G68" s="372"/>
      <c r="H68" s="372"/>
      <c r="I68" s="373"/>
      <c r="J68" s="104"/>
      <c r="K68" s="71" t="s">
        <v>58</v>
      </c>
      <c r="L68" s="17" t="s">
        <v>189</v>
      </c>
      <c r="M68" s="105" t="s">
        <v>61</v>
      </c>
      <c r="N68" s="101">
        <v>3.125</v>
      </c>
      <c r="O68" s="101" t="s">
        <v>25</v>
      </c>
      <c r="P68" s="6">
        <v>0.86</v>
      </c>
      <c r="Q68" s="101">
        <f t="shared" ref="Q68:Q72" si="16">Q69-P68</f>
        <v>3761.4399999999996</v>
      </c>
      <c r="R68" s="7">
        <f t="shared" si="1"/>
        <v>3762.2999999999997</v>
      </c>
      <c r="S68" s="14"/>
      <c r="T68" s="102"/>
      <c r="U68" s="15"/>
      <c r="V68" s="330"/>
      <c r="W68" s="39"/>
      <c r="X68" s="39"/>
      <c r="Y68" s="39"/>
    </row>
    <row r="69" spans="2:25" ht="28.95" customHeight="1" x14ac:dyDescent="0.3">
      <c r="B69" s="328"/>
      <c r="C69" s="413" t="s">
        <v>184</v>
      </c>
      <c r="D69" s="372"/>
      <c r="E69" s="372"/>
      <c r="F69" s="372"/>
      <c r="G69" s="372"/>
      <c r="H69" s="372"/>
      <c r="I69" s="373"/>
      <c r="J69" s="104"/>
      <c r="K69" s="71" t="s">
        <v>58</v>
      </c>
      <c r="L69" s="105" t="s">
        <v>62</v>
      </c>
      <c r="M69" s="105" t="s">
        <v>63</v>
      </c>
      <c r="N69" s="101">
        <v>4.5</v>
      </c>
      <c r="O69" s="101" t="s">
        <v>25</v>
      </c>
      <c r="P69" s="6">
        <v>0.09</v>
      </c>
      <c r="Q69" s="101">
        <f t="shared" ref="Q69:Q70" si="17">Q70-P69</f>
        <v>3762.2999999999997</v>
      </c>
      <c r="R69" s="7">
        <f t="shared" si="1"/>
        <v>3762.39</v>
      </c>
      <c r="S69" s="14"/>
      <c r="T69" s="102"/>
      <c r="U69" s="106"/>
      <c r="V69" s="331"/>
      <c r="W69" s="39"/>
      <c r="X69" s="39"/>
      <c r="Y69" s="39"/>
    </row>
    <row r="70" spans="2:25" ht="23.55" customHeight="1" x14ac:dyDescent="0.3">
      <c r="B70" s="328"/>
      <c r="C70" s="375" t="s">
        <v>195</v>
      </c>
      <c r="D70" s="372"/>
      <c r="E70" s="372"/>
      <c r="F70" s="372"/>
      <c r="G70" s="372"/>
      <c r="H70" s="372"/>
      <c r="I70" s="373"/>
      <c r="J70" s="104"/>
      <c r="K70" s="71" t="s">
        <v>58</v>
      </c>
      <c r="L70" s="105" t="s">
        <v>64</v>
      </c>
      <c r="M70" s="105" t="s">
        <v>64</v>
      </c>
      <c r="N70" s="101">
        <v>4.5</v>
      </c>
      <c r="O70" s="101" t="s">
        <v>25</v>
      </c>
      <c r="P70" s="6">
        <v>3.61</v>
      </c>
      <c r="Q70" s="101">
        <f t="shared" si="17"/>
        <v>3762.39</v>
      </c>
      <c r="R70" s="7">
        <f t="shared" si="1"/>
        <v>3766</v>
      </c>
      <c r="S70" s="14"/>
      <c r="T70" s="102"/>
      <c r="U70" s="106"/>
      <c r="V70" s="331"/>
      <c r="W70" s="39"/>
      <c r="X70" s="39"/>
      <c r="Y70" s="39"/>
    </row>
    <row r="71" spans="2:25" ht="29.1" customHeight="1" x14ac:dyDescent="0.3">
      <c r="B71" s="328"/>
      <c r="C71" s="374" t="s">
        <v>207</v>
      </c>
      <c r="D71" s="372"/>
      <c r="E71" s="372"/>
      <c r="F71" s="372"/>
      <c r="G71" s="372"/>
      <c r="H71" s="372"/>
      <c r="I71" s="373"/>
      <c r="J71" s="104"/>
      <c r="K71" s="71" t="s">
        <v>58</v>
      </c>
      <c r="L71" s="105" t="s">
        <v>64</v>
      </c>
      <c r="M71" s="105" t="s">
        <v>64</v>
      </c>
      <c r="N71" s="101">
        <v>4.5</v>
      </c>
      <c r="O71" s="101" t="s">
        <v>25</v>
      </c>
      <c r="P71" s="266">
        <v>6</v>
      </c>
      <c r="Q71" s="101">
        <f t="shared" ref="Q71" si="18">Q72-P71</f>
        <v>3766</v>
      </c>
      <c r="R71" s="7">
        <f t="shared" si="1"/>
        <v>3772</v>
      </c>
      <c r="S71" s="14"/>
      <c r="T71" s="102"/>
      <c r="U71" s="107"/>
      <c r="V71" s="332"/>
      <c r="W71" s="39"/>
      <c r="X71" s="39"/>
      <c r="Y71" s="39"/>
    </row>
    <row r="72" spans="2:25" ht="25.5" customHeight="1" x14ac:dyDescent="0.3">
      <c r="B72" s="328"/>
      <c r="C72" s="371" t="s">
        <v>265</v>
      </c>
      <c r="D72" s="372"/>
      <c r="E72" s="372"/>
      <c r="F72" s="372"/>
      <c r="G72" s="372"/>
      <c r="H72" s="372"/>
      <c r="I72" s="373"/>
      <c r="J72" s="104"/>
      <c r="K72" s="71" t="s">
        <v>58</v>
      </c>
      <c r="L72" s="105" t="s">
        <v>64</v>
      </c>
      <c r="M72" s="105" t="s">
        <v>64</v>
      </c>
      <c r="N72" s="101">
        <v>4.5</v>
      </c>
      <c r="O72" s="101" t="s">
        <v>25</v>
      </c>
      <c r="P72" s="6">
        <v>5</v>
      </c>
      <c r="Q72" s="101">
        <f t="shared" si="16"/>
        <v>3772</v>
      </c>
      <c r="R72" s="7">
        <f t="shared" ref="R72" si="19">Q72+P72</f>
        <v>3777</v>
      </c>
      <c r="S72" s="14"/>
      <c r="T72" s="102"/>
      <c r="U72" s="106"/>
      <c r="V72" s="331"/>
      <c r="W72" s="39"/>
      <c r="X72" s="39"/>
      <c r="Y72" s="39"/>
    </row>
    <row r="73" spans="2:25" ht="29.1" customHeight="1" x14ac:dyDescent="0.3">
      <c r="B73" s="328"/>
      <c r="C73" s="374" t="s">
        <v>207</v>
      </c>
      <c r="D73" s="372"/>
      <c r="E73" s="372"/>
      <c r="F73" s="372"/>
      <c r="G73" s="372"/>
      <c r="H73" s="372"/>
      <c r="I73" s="373"/>
      <c r="J73" s="104"/>
      <c r="K73" s="71" t="s">
        <v>58</v>
      </c>
      <c r="L73" s="105" t="s">
        <v>64</v>
      </c>
      <c r="M73" s="105" t="s">
        <v>64</v>
      </c>
      <c r="N73" s="101">
        <v>4.5</v>
      </c>
      <c r="O73" s="101" t="s">
        <v>25</v>
      </c>
      <c r="P73" s="266">
        <v>6</v>
      </c>
      <c r="Q73" s="101">
        <f t="shared" ref="Q73" si="20">Q74-P73</f>
        <v>3777</v>
      </c>
      <c r="R73" s="7">
        <f t="shared" ref="R73" si="21">Q73+P73</f>
        <v>3783</v>
      </c>
      <c r="S73" s="14"/>
      <c r="T73" s="102"/>
      <c r="U73" s="107"/>
      <c r="V73" s="332"/>
      <c r="W73" s="39"/>
      <c r="X73" s="39"/>
      <c r="Y73" s="39"/>
    </row>
    <row r="74" spans="2:25" ht="22.5" customHeight="1" x14ac:dyDescent="0.3">
      <c r="B74" s="328"/>
      <c r="C74" s="371" t="s">
        <v>265</v>
      </c>
      <c r="D74" s="372"/>
      <c r="E74" s="372"/>
      <c r="F74" s="372"/>
      <c r="G74" s="372"/>
      <c r="H74" s="372"/>
      <c r="I74" s="373"/>
      <c r="J74" s="104"/>
      <c r="K74" s="71" t="s">
        <v>58</v>
      </c>
      <c r="L74" s="105" t="s">
        <v>64</v>
      </c>
      <c r="M74" s="105" t="s">
        <v>64</v>
      </c>
      <c r="N74" s="101">
        <v>4.5</v>
      </c>
      <c r="O74" s="101" t="s">
        <v>25</v>
      </c>
      <c r="P74" s="6">
        <v>4</v>
      </c>
      <c r="Q74" s="101">
        <f t="shared" ref="Q74" si="22">Q75-P74</f>
        <v>3783</v>
      </c>
      <c r="R74" s="7">
        <f t="shared" si="1"/>
        <v>3787</v>
      </c>
      <c r="S74" s="14"/>
      <c r="T74" s="102"/>
      <c r="U74" s="106"/>
      <c r="V74" s="331"/>
      <c r="W74" s="39"/>
      <c r="X74" s="39"/>
      <c r="Y74" s="39"/>
    </row>
    <row r="75" spans="2:25" ht="29.1" customHeight="1" x14ac:dyDescent="0.3">
      <c r="B75" s="328"/>
      <c r="C75" s="374" t="s">
        <v>207</v>
      </c>
      <c r="D75" s="372"/>
      <c r="E75" s="372"/>
      <c r="F75" s="372"/>
      <c r="G75" s="372"/>
      <c r="H75" s="372"/>
      <c r="I75" s="373"/>
      <c r="J75" s="104"/>
      <c r="K75" s="71" t="s">
        <v>58</v>
      </c>
      <c r="L75" s="105" t="s">
        <v>64</v>
      </c>
      <c r="M75" s="105" t="s">
        <v>64</v>
      </c>
      <c r="N75" s="101">
        <v>4.5</v>
      </c>
      <c r="O75" s="101" t="s">
        <v>25</v>
      </c>
      <c r="P75" s="266">
        <v>4</v>
      </c>
      <c r="Q75" s="101">
        <f t="shared" si="14"/>
        <v>3787</v>
      </c>
      <c r="R75" s="7">
        <f t="shared" si="1"/>
        <v>3791</v>
      </c>
      <c r="S75" s="14"/>
      <c r="T75" s="102"/>
      <c r="U75" s="107"/>
      <c r="V75" s="332"/>
      <c r="W75" s="39"/>
      <c r="X75" s="39"/>
      <c r="Y75" s="39"/>
    </row>
    <row r="76" spans="2:25" ht="39" customHeight="1" x14ac:dyDescent="0.3">
      <c r="B76" s="328"/>
      <c r="C76" s="371" t="s">
        <v>265</v>
      </c>
      <c r="D76" s="372"/>
      <c r="E76" s="372"/>
      <c r="F76" s="372"/>
      <c r="G76" s="372"/>
      <c r="H76" s="372"/>
      <c r="I76" s="373"/>
      <c r="J76" s="104"/>
      <c r="K76" s="71" t="s">
        <v>58</v>
      </c>
      <c r="L76" s="105" t="s">
        <v>64</v>
      </c>
      <c r="M76" s="105" t="s">
        <v>64</v>
      </c>
      <c r="N76" s="101">
        <v>4.5</v>
      </c>
      <c r="O76" s="101" t="s">
        <v>25</v>
      </c>
      <c r="P76" s="6">
        <v>59</v>
      </c>
      <c r="Q76" s="101">
        <f t="shared" si="14"/>
        <v>3791</v>
      </c>
      <c r="R76" s="7">
        <f t="shared" ref="R76" si="23">Q76+P76</f>
        <v>3850</v>
      </c>
      <c r="S76" s="14"/>
      <c r="T76" s="102"/>
      <c r="U76" s="106"/>
      <c r="V76" s="331"/>
      <c r="W76" s="39"/>
      <c r="X76" s="39"/>
      <c r="Y76" s="39"/>
    </row>
    <row r="77" spans="2:25" ht="29.1" customHeight="1" x14ac:dyDescent="0.3">
      <c r="B77" s="328"/>
      <c r="C77" s="374" t="s">
        <v>207</v>
      </c>
      <c r="D77" s="372"/>
      <c r="E77" s="372"/>
      <c r="F77" s="372"/>
      <c r="G77" s="372"/>
      <c r="H77" s="372"/>
      <c r="I77" s="373"/>
      <c r="J77" s="104"/>
      <c r="K77" s="71" t="s">
        <v>58</v>
      </c>
      <c r="L77" s="105" t="s">
        <v>64</v>
      </c>
      <c r="M77" s="105" t="s">
        <v>64</v>
      </c>
      <c r="N77" s="101">
        <v>4.5</v>
      </c>
      <c r="O77" s="101" t="s">
        <v>25</v>
      </c>
      <c r="P77" s="266">
        <v>4</v>
      </c>
      <c r="Q77" s="101">
        <f>Q78-P77</f>
        <v>3850</v>
      </c>
      <c r="R77" s="7">
        <f t="shared" ref="R77" si="24">Q77+P77</f>
        <v>3854</v>
      </c>
      <c r="S77" s="14"/>
      <c r="T77" s="102"/>
      <c r="U77" s="107"/>
      <c r="V77" s="332"/>
      <c r="W77" s="39"/>
      <c r="X77" s="39"/>
      <c r="Y77" s="39"/>
    </row>
    <row r="78" spans="2:25" ht="29.25" customHeight="1" x14ac:dyDescent="0.3">
      <c r="B78" s="328"/>
      <c r="C78" s="371" t="s">
        <v>265</v>
      </c>
      <c r="D78" s="372"/>
      <c r="E78" s="372"/>
      <c r="F78" s="372"/>
      <c r="G78" s="372"/>
      <c r="H78" s="372"/>
      <c r="I78" s="373"/>
      <c r="J78" s="104"/>
      <c r="K78" s="71" t="s">
        <v>58</v>
      </c>
      <c r="L78" s="105" t="s">
        <v>64</v>
      </c>
      <c r="M78" s="105" t="s">
        <v>64</v>
      </c>
      <c r="N78" s="101">
        <v>4.5</v>
      </c>
      <c r="O78" s="101" t="s">
        <v>25</v>
      </c>
      <c r="P78" s="6">
        <v>18</v>
      </c>
      <c r="Q78" s="101">
        <f t="shared" ref="Q78" si="25">Q79-P78</f>
        <v>3854</v>
      </c>
      <c r="R78" s="7">
        <f t="shared" si="1"/>
        <v>3872</v>
      </c>
      <c r="S78" s="14"/>
      <c r="T78" s="102"/>
      <c r="U78" s="106"/>
      <c r="V78" s="331"/>
      <c r="W78" s="39"/>
      <c r="X78" s="39"/>
      <c r="Y78" s="39"/>
    </row>
    <row r="79" spans="2:25" ht="29.1" customHeight="1" x14ac:dyDescent="0.3">
      <c r="B79" s="328"/>
      <c r="C79" s="374" t="s">
        <v>207</v>
      </c>
      <c r="D79" s="372"/>
      <c r="E79" s="372"/>
      <c r="F79" s="372"/>
      <c r="G79" s="372"/>
      <c r="H79" s="372"/>
      <c r="I79" s="373"/>
      <c r="J79" s="104"/>
      <c r="K79" s="71" t="s">
        <v>58</v>
      </c>
      <c r="L79" s="105" t="s">
        <v>64</v>
      </c>
      <c r="M79" s="105" t="s">
        <v>64</v>
      </c>
      <c r="N79" s="101">
        <v>4.5</v>
      </c>
      <c r="O79" s="101" t="s">
        <v>25</v>
      </c>
      <c r="P79" s="266">
        <v>3</v>
      </c>
      <c r="Q79" s="101">
        <f>Q80-P79</f>
        <v>3872</v>
      </c>
      <c r="R79" s="7">
        <f t="shared" si="1"/>
        <v>3875</v>
      </c>
      <c r="S79" s="14"/>
      <c r="T79" s="102"/>
      <c r="U79" s="107"/>
      <c r="V79" s="332"/>
      <c r="W79" s="39"/>
      <c r="X79" s="39"/>
      <c r="Y79" s="39"/>
    </row>
    <row r="80" spans="2:25" ht="29.25" customHeight="1" x14ac:dyDescent="0.3">
      <c r="B80" s="328"/>
      <c r="C80" s="371" t="s">
        <v>265</v>
      </c>
      <c r="D80" s="372"/>
      <c r="E80" s="372"/>
      <c r="F80" s="372"/>
      <c r="G80" s="372"/>
      <c r="H80" s="372"/>
      <c r="I80" s="373"/>
      <c r="J80" s="104"/>
      <c r="K80" s="71" t="s">
        <v>58</v>
      </c>
      <c r="L80" s="105" t="s">
        <v>64</v>
      </c>
      <c r="M80" s="105" t="s">
        <v>64</v>
      </c>
      <c r="N80" s="101">
        <v>4.5</v>
      </c>
      <c r="O80" s="101" t="s">
        <v>25</v>
      </c>
      <c r="P80" s="6">
        <v>11</v>
      </c>
      <c r="Q80" s="101">
        <f>Q81-P80</f>
        <v>3875</v>
      </c>
      <c r="R80" s="7">
        <f>Q80+P80</f>
        <v>3886</v>
      </c>
      <c r="S80" s="14"/>
      <c r="T80" s="102"/>
      <c r="U80" s="106"/>
      <c r="V80" s="331"/>
      <c r="W80" s="39"/>
      <c r="X80" s="39"/>
      <c r="Y80" s="39"/>
    </row>
    <row r="81" spans="2:25" ht="29.1" customHeight="1" x14ac:dyDescent="0.3">
      <c r="B81" s="328"/>
      <c r="C81" s="374" t="s">
        <v>207</v>
      </c>
      <c r="D81" s="372"/>
      <c r="E81" s="372"/>
      <c r="F81" s="372"/>
      <c r="G81" s="372"/>
      <c r="H81" s="372"/>
      <c r="I81" s="373"/>
      <c r="J81" s="104"/>
      <c r="K81" s="71" t="s">
        <v>58</v>
      </c>
      <c r="L81" s="105" t="s">
        <v>64</v>
      </c>
      <c r="M81" s="105" t="s">
        <v>64</v>
      </c>
      <c r="N81" s="101">
        <v>4.5</v>
      </c>
      <c r="O81" s="101" t="s">
        <v>25</v>
      </c>
      <c r="P81" s="266">
        <v>3</v>
      </c>
      <c r="Q81" s="101">
        <f t="shared" ref="Q81:Q84" si="26">Q82-P81</f>
        <v>3886</v>
      </c>
      <c r="R81" s="7">
        <v>3889</v>
      </c>
      <c r="S81" s="14"/>
      <c r="T81" s="102"/>
      <c r="U81" s="107"/>
      <c r="V81" s="332"/>
      <c r="W81" s="39"/>
      <c r="X81" s="39"/>
      <c r="Y81" s="39"/>
    </row>
    <row r="82" spans="2:25" ht="20.25" customHeight="1" x14ac:dyDescent="0.3">
      <c r="B82" s="328"/>
      <c r="C82" s="396" t="s">
        <v>158</v>
      </c>
      <c r="D82" s="397"/>
      <c r="E82" s="397"/>
      <c r="F82" s="397"/>
      <c r="G82" s="397"/>
      <c r="H82" s="397"/>
      <c r="I82" s="398"/>
      <c r="J82" s="104"/>
      <c r="K82" s="71" t="s">
        <v>58</v>
      </c>
      <c r="L82" s="105" t="s">
        <v>64</v>
      </c>
      <c r="M82" s="105" t="s">
        <v>61</v>
      </c>
      <c r="N82" s="37">
        <v>4.5</v>
      </c>
      <c r="O82" s="5" t="s">
        <v>25</v>
      </c>
      <c r="P82" s="101">
        <v>1.46</v>
      </c>
      <c r="Q82" s="101">
        <f t="shared" si="26"/>
        <v>3889</v>
      </c>
      <c r="R82" s="7">
        <v>3890.46</v>
      </c>
      <c r="S82" s="14"/>
      <c r="T82" s="102"/>
      <c r="U82" s="107"/>
      <c r="V82" s="332"/>
      <c r="W82" s="39"/>
      <c r="X82" s="39"/>
      <c r="Y82" s="39"/>
    </row>
    <row r="83" spans="2:25" ht="24" customHeight="1" x14ac:dyDescent="0.3">
      <c r="B83" s="328"/>
      <c r="C83" s="399" t="s">
        <v>196</v>
      </c>
      <c r="D83" s="400"/>
      <c r="E83" s="400"/>
      <c r="F83" s="400"/>
      <c r="G83" s="400"/>
      <c r="H83" s="400"/>
      <c r="I83" s="401"/>
      <c r="J83" s="104"/>
      <c r="K83" s="71" t="s">
        <v>58</v>
      </c>
      <c r="L83" s="105" t="s">
        <v>61</v>
      </c>
      <c r="M83" s="37" t="s">
        <v>65</v>
      </c>
      <c r="N83" s="101">
        <v>3.375</v>
      </c>
      <c r="O83" s="5" t="s">
        <v>25</v>
      </c>
      <c r="P83" s="101">
        <v>1.04</v>
      </c>
      <c r="Q83" s="101">
        <f t="shared" si="26"/>
        <v>3890.46</v>
      </c>
      <c r="R83" s="7">
        <f t="shared" ref="R83:R84" si="27">Q83+P83</f>
        <v>3891.5</v>
      </c>
      <c r="S83" s="14"/>
      <c r="T83" s="102"/>
      <c r="U83" s="107"/>
      <c r="V83" s="332"/>
      <c r="W83" s="39"/>
      <c r="X83" s="39"/>
      <c r="Y83" s="39"/>
    </row>
    <row r="84" spans="2:25" ht="21" customHeight="1" x14ac:dyDescent="0.3">
      <c r="B84" s="328"/>
      <c r="C84" s="402" t="s">
        <v>66</v>
      </c>
      <c r="D84" s="400"/>
      <c r="E84" s="400"/>
      <c r="F84" s="400"/>
      <c r="G84" s="400"/>
      <c r="H84" s="400"/>
      <c r="I84" s="401"/>
      <c r="J84" s="104"/>
      <c r="K84" s="71" t="s">
        <v>58</v>
      </c>
      <c r="L84" s="37" t="s">
        <v>65</v>
      </c>
      <c r="M84" s="37" t="s">
        <v>25</v>
      </c>
      <c r="N84" s="101">
        <v>3.375</v>
      </c>
      <c r="O84" s="5" t="s">
        <v>25</v>
      </c>
      <c r="P84" s="101">
        <v>0.23</v>
      </c>
      <c r="Q84" s="101">
        <f t="shared" si="26"/>
        <v>3891.5</v>
      </c>
      <c r="R84" s="7">
        <f t="shared" si="27"/>
        <v>3891.73</v>
      </c>
      <c r="S84" s="14"/>
      <c r="T84" s="108"/>
      <c r="U84" s="109"/>
      <c r="V84" s="333"/>
      <c r="W84" s="248"/>
      <c r="X84" s="39"/>
      <c r="Y84" s="39"/>
    </row>
    <row r="85" spans="2:25" ht="21" customHeight="1" x14ac:dyDescent="0.3">
      <c r="B85" s="328"/>
      <c r="C85" s="403" t="s">
        <v>67</v>
      </c>
      <c r="D85" s="404"/>
      <c r="E85" s="404"/>
      <c r="F85" s="404"/>
      <c r="G85" s="404"/>
      <c r="H85" s="404"/>
      <c r="I85" s="405"/>
      <c r="J85" s="110"/>
      <c r="K85" s="110"/>
      <c r="L85" s="111"/>
      <c r="M85" s="111"/>
      <c r="N85" s="112"/>
      <c r="O85" s="112"/>
      <c r="P85" s="101"/>
      <c r="Q85" s="345">
        <v>3891.73</v>
      </c>
      <c r="R85" s="113"/>
      <c r="S85" s="14"/>
      <c r="T85" s="108"/>
      <c r="U85" s="108"/>
      <c r="V85" s="334"/>
      <c r="W85" s="248"/>
      <c r="X85" s="39"/>
      <c r="Y85" s="39"/>
    </row>
    <row r="86" spans="2:25" ht="20.25" customHeight="1" x14ac:dyDescent="0.3">
      <c r="B86" s="335"/>
      <c r="C86" s="406" t="s">
        <v>68</v>
      </c>
      <c r="D86" s="407"/>
      <c r="E86" s="407"/>
      <c r="F86" s="407"/>
      <c r="G86" s="407"/>
      <c r="H86" s="407"/>
      <c r="I86" s="407"/>
      <c r="J86" s="407"/>
      <c r="K86" s="407"/>
      <c r="L86" s="407"/>
      <c r="M86" s="407"/>
      <c r="N86" s="407"/>
      <c r="O86" s="407"/>
      <c r="P86" s="407"/>
      <c r="Q86" s="408"/>
      <c r="R86" s="346">
        <f>Q85</f>
        <v>3891.73</v>
      </c>
      <c r="S86" s="317"/>
      <c r="T86" s="392"/>
      <c r="U86" s="392"/>
      <c r="V86" s="336"/>
      <c r="W86" s="39"/>
      <c r="X86" s="39"/>
      <c r="Y86" s="39"/>
    </row>
    <row r="87" spans="2:25" ht="18.600000000000001" customHeight="1" x14ac:dyDescent="0.25">
      <c r="B87" s="342" t="s">
        <v>206</v>
      </c>
      <c r="C87" s="393" t="s">
        <v>230</v>
      </c>
      <c r="D87" s="393"/>
      <c r="E87" s="393"/>
      <c r="F87" s="393"/>
      <c r="G87" s="394" t="s">
        <v>69</v>
      </c>
      <c r="H87" s="394"/>
      <c r="I87" s="337" t="s">
        <v>70</v>
      </c>
      <c r="J87" s="382" t="s">
        <v>71</v>
      </c>
      <c r="K87" s="382"/>
      <c r="L87" s="395" t="s">
        <v>191</v>
      </c>
      <c r="M87" s="395"/>
      <c r="N87" s="365"/>
      <c r="O87" s="366"/>
      <c r="P87" s="366"/>
      <c r="Q87" s="366"/>
      <c r="R87" s="366"/>
      <c r="S87" s="366"/>
      <c r="T87" s="366"/>
      <c r="U87" s="366"/>
      <c r="V87" s="367"/>
      <c r="W87" s="39"/>
      <c r="X87" s="39"/>
      <c r="Y87" s="39"/>
    </row>
    <row r="88" spans="2:25" ht="18.600000000000001" customHeight="1" x14ac:dyDescent="0.25">
      <c r="B88" s="342" t="s">
        <v>72</v>
      </c>
      <c r="C88" s="381" t="s">
        <v>223</v>
      </c>
      <c r="D88" s="381"/>
      <c r="E88" s="381"/>
      <c r="F88" s="381"/>
      <c r="G88" s="384" t="s">
        <v>73</v>
      </c>
      <c r="H88" s="384"/>
      <c r="I88" s="338">
        <v>2</v>
      </c>
      <c r="J88" s="382" t="s">
        <v>74</v>
      </c>
      <c r="K88" s="382"/>
      <c r="L88" s="388" t="s">
        <v>210</v>
      </c>
      <c r="M88" s="388"/>
      <c r="N88" s="365" t="s">
        <v>221</v>
      </c>
      <c r="O88" s="366"/>
      <c r="P88" s="366"/>
      <c r="Q88" s="366"/>
      <c r="R88" s="366"/>
      <c r="S88" s="366"/>
      <c r="T88" s="366"/>
      <c r="U88" s="366"/>
      <c r="V88" s="367"/>
      <c r="W88" s="39"/>
      <c r="X88" s="39"/>
      <c r="Y88" s="39"/>
    </row>
    <row r="89" spans="2:25" ht="18.600000000000001" customHeight="1" x14ac:dyDescent="0.25">
      <c r="B89" s="342" t="s">
        <v>77</v>
      </c>
      <c r="C89" s="381" t="s">
        <v>238</v>
      </c>
      <c r="D89" s="381"/>
      <c r="E89" s="381"/>
      <c r="F89" s="381"/>
      <c r="G89" s="384" t="s">
        <v>75</v>
      </c>
      <c r="H89" s="384"/>
      <c r="I89" s="384"/>
      <c r="J89" s="382" t="s">
        <v>76</v>
      </c>
      <c r="K89" s="382"/>
      <c r="L89" s="388">
        <v>17.2</v>
      </c>
      <c r="M89" s="388"/>
      <c r="N89" s="365" t="s">
        <v>220</v>
      </c>
      <c r="O89" s="366"/>
      <c r="P89" s="366"/>
      <c r="Q89" s="366"/>
      <c r="R89" s="366"/>
      <c r="S89" s="366"/>
      <c r="T89" s="366"/>
      <c r="U89" s="366"/>
      <c r="V89" s="367"/>
      <c r="W89" s="39"/>
      <c r="X89" s="39"/>
      <c r="Y89" s="39"/>
    </row>
    <row r="90" spans="2:25" ht="18.600000000000001" customHeight="1" x14ac:dyDescent="0.25">
      <c r="B90" s="342" t="s">
        <v>224</v>
      </c>
      <c r="C90" s="381" t="s">
        <v>188</v>
      </c>
      <c r="D90" s="381"/>
      <c r="E90" s="381"/>
      <c r="F90" s="381"/>
      <c r="G90" s="387" t="s">
        <v>78</v>
      </c>
      <c r="H90" s="387"/>
      <c r="I90" s="339"/>
      <c r="J90" s="382" t="s">
        <v>79</v>
      </c>
      <c r="K90" s="382"/>
      <c r="L90" s="389" t="s">
        <v>227</v>
      </c>
      <c r="M90" s="389"/>
      <c r="N90" s="365" t="s">
        <v>219</v>
      </c>
      <c r="O90" s="366"/>
      <c r="P90" s="366"/>
      <c r="Q90" s="366"/>
      <c r="R90" s="366"/>
      <c r="S90" s="366"/>
      <c r="T90" s="366"/>
      <c r="U90" s="366"/>
      <c r="V90" s="367"/>
      <c r="W90" s="39"/>
      <c r="X90" s="39"/>
      <c r="Y90" s="39"/>
    </row>
    <row r="91" spans="2:25" ht="18.600000000000001" customHeight="1" x14ac:dyDescent="0.25">
      <c r="B91" s="342" t="s">
        <v>80</v>
      </c>
      <c r="C91" s="381" t="s">
        <v>235</v>
      </c>
      <c r="D91" s="381"/>
      <c r="E91" s="381"/>
      <c r="F91" s="381"/>
      <c r="G91" s="387" t="s">
        <v>81</v>
      </c>
      <c r="H91" s="387"/>
      <c r="I91" s="340" t="s">
        <v>239</v>
      </c>
      <c r="J91" s="382" t="s">
        <v>82</v>
      </c>
      <c r="K91" s="382"/>
      <c r="L91" s="390">
        <f>(65.45-L89)/65.45</f>
        <v>0.73720397249809011</v>
      </c>
      <c r="M91" s="390"/>
      <c r="N91" s="365"/>
      <c r="O91" s="366"/>
      <c r="P91" s="366"/>
      <c r="Q91" s="366"/>
      <c r="R91" s="366"/>
      <c r="S91" s="366"/>
      <c r="T91" s="366"/>
      <c r="U91" s="366"/>
      <c r="V91" s="367"/>
      <c r="W91" s="39"/>
      <c r="X91" s="39"/>
      <c r="Y91" s="39"/>
    </row>
    <row r="92" spans="2:25" ht="18.600000000000001" customHeight="1" x14ac:dyDescent="0.25">
      <c r="B92" s="342" t="s">
        <v>236</v>
      </c>
      <c r="C92" s="381" t="s">
        <v>237</v>
      </c>
      <c r="D92" s="381"/>
      <c r="E92" s="381"/>
      <c r="F92" s="381"/>
      <c r="G92" s="384" t="s">
        <v>83</v>
      </c>
      <c r="H92" s="384"/>
      <c r="I92" s="341">
        <f>R58</f>
        <v>3731.6549999999997</v>
      </c>
      <c r="J92" s="382" t="s">
        <v>84</v>
      </c>
      <c r="K92" s="382"/>
      <c r="L92" s="391" t="s">
        <v>245</v>
      </c>
      <c r="M92" s="391"/>
      <c r="N92" s="365"/>
      <c r="O92" s="366"/>
      <c r="P92" s="366"/>
      <c r="Q92" s="366"/>
      <c r="R92" s="366"/>
      <c r="S92" s="366"/>
      <c r="T92" s="366"/>
      <c r="U92" s="366"/>
      <c r="V92" s="367"/>
      <c r="W92" s="39"/>
      <c r="X92" s="39"/>
      <c r="Y92" s="39"/>
    </row>
    <row r="93" spans="2:25" ht="18.600000000000001" customHeight="1" x14ac:dyDescent="0.25">
      <c r="B93" s="342" t="s">
        <v>87</v>
      </c>
      <c r="C93" s="381" t="s">
        <v>213</v>
      </c>
      <c r="D93" s="381"/>
      <c r="E93" s="381"/>
      <c r="F93" s="381"/>
      <c r="G93" s="384" t="s">
        <v>85</v>
      </c>
      <c r="H93" s="384"/>
      <c r="I93" s="385" t="s">
        <v>242</v>
      </c>
      <c r="J93" s="382" t="s">
        <v>86</v>
      </c>
      <c r="K93" s="382"/>
      <c r="L93" s="386">
        <v>340</v>
      </c>
      <c r="M93" s="386"/>
      <c r="N93" s="365"/>
      <c r="O93" s="366"/>
      <c r="P93" s="366"/>
      <c r="Q93" s="366"/>
      <c r="R93" s="366"/>
      <c r="S93" s="366"/>
      <c r="T93" s="366"/>
      <c r="U93" s="366"/>
      <c r="V93" s="367"/>
      <c r="W93" s="39"/>
      <c r="X93" s="39"/>
      <c r="Y93" s="39"/>
    </row>
    <row r="94" spans="2:25" ht="18.600000000000001" customHeight="1" x14ac:dyDescent="0.25">
      <c r="B94" s="342" t="s">
        <v>87</v>
      </c>
      <c r="C94" s="381" t="s">
        <v>214</v>
      </c>
      <c r="D94" s="381"/>
      <c r="E94" s="381"/>
      <c r="F94" s="381"/>
      <c r="G94" s="384"/>
      <c r="H94" s="384"/>
      <c r="I94" s="385"/>
      <c r="J94" s="382" t="s">
        <v>88</v>
      </c>
      <c r="K94" s="382"/>
      <c r="L94" s="383">
        <v>3424</v>
      </c>
      <c r="M94" s="383"/>
      <c r="N94" s="365"/>
      <c r="O94" s="366"/>
      <c r="P94" s="366"/>
      <c r="Q94" s="366"/>
      <c r="R94" s="366"/>
      <c r="S94" s="366"/>
      <c r="T94" s="366"/>
      <c r="U94" s="366"/>
      <c r="V94" s="367"/>
      <c r="W94" s="39"/>
      <c r="X94" s="39"/>
      <c r="Y94" s="39"/>
    </row>
    <row r="95" spans="2:25" ht="18.600000000000001" customHeight="1" thickBot="1" x14ac:dyDescent="0.3">
      <c r="B95" s="343"/>
      <c r="C95" s="377"/>
      <c r="D95" s="377"/>
      <c r="E95" s="377"/>
      <c r="F95" s="377"/>
      <c r="G95" s="378"/>
      <c r="H95" s="378"/>
      <c r="I95" s="344"/>
      <c r="J95" s="379" t="s">
        <v>89</v>
      </c>
      <c r="K95" s="379"/>
      <c r="L95" s="380">
        <v>3996</v>
      </c>
      <c r="M95" s="380"/>
      <c r="N95" s="368"/>
      <c r="O95" s="369"/>
      <c r="P95" s="369"/>
      <c r="Q95" s="369"/>
      <c r="R95" s="369"/>
      <c r="S95" s="369"/>
      <c r="T95" s="369"/>
      <c r="U95" s="369"/>
      <c r="V95" s="370"/>
      <c r="W95" s="39"/>
      <c r="X95" s="39"/>
      <c r="Y95" s="39"/>
    </row>
    <row r="96" spans="2:25" s="114" customFormat="1" ht="12" customHeight="1" x14ac:dyDescent="0.25">
      <c r="Q96" s="115"/>
      <c r="R96" s="115"/>
    </row>
    <row r="97" spans="2:22" s="114" customFormat="1" ht="18" customHeight="1" x14ac:dyDescent="0.25">
      <c r="B97" s="376"/>
      <c r="C97" s="376"/>
      <c r="D97" s="376"/>
      <c r="E97" s="376"/>
      <c r="F97" s="376"/>
      <c r="G97" s="376"/>
      <c r="H97" s="376"/>
      <c r="I97" s="376"/>
      <c r="J97" s="376"/>
      <c r="K97" s="376"/>
      <c r="L97" s="376"/>
      <c r="M97" s="376"/>
      <c r="N97" s="376"/>
      <c r="O97" s="376"/>
      <c r="P97" s="376"/>
      <c r="Q97" s="376"/>
      <c r="R97" s="376"/>
      <c r="S97" s="376"/>
      <c r="T97" s="376"/>
      <c r="U97" s="376"/>
      <c r="V97" s="376"/>
    </row>
    <row r="98" spans="2:22" s="114" customFormat="1" ht="12" customHeight="1" x14ac:dyDescent="0.25">
      <c r="Q98" s="115"/>
      <c r="R98" s="115"/>
    </row>
    <row r="99" spans="2:22" s="114" customFormat="1" ht="12" customHeight="1" x14ac:dyDescent="0.25">
      <c r="Q99" s="115"/>
      <c r="R99" s="115"/>
    </row>
    <row r="100" spans="2:22" s="114" customFormat="1" ht="12" customHeight="1" x14ac:dyDescent="0.25">
      <c r="Q100" s="115"/>
      <c r="R100" s="115"/>
    </row>
    <row r="101" spans="2:22" s="114" customFormat="1" ht="12" customHeight="1" x14ac:dyDescent="0.25">
      <c r="Q101" s="115"/>
      <c r="R101" s="115"/>
    </row>
    <row r="102" spans="2:22" s="114" customFormat="1" ht="12" customHeight="1" x14ac:dyDescent="0.25">
      <c r="Q102" s="115"/>
      <c r="R102" s="115"/>
    </row>
    <row r="103" spans="2:22" s="114" customFormat="1" ht="12" customHeight="1" x14ac:dyDescent="0.25">
      <c r="Q103" s="115"/>
      <c r="R103" s="115"/>
    </row>
    <row r="104" spans="2:22" s="114" customFormat="1" ht="12" customHeight="1" x14ac:dyDescent="0.25">
      <c r="Q104" s="115"/>
      <c r="R104" s="115"/>
    </row>
    <row r="105" spans="2:22" s="114" customFormat="1" ht="12" customHeight="1" x14ac:dyDescent="0.25">
      <c r="Q105" s="115"/>
      <c r="R105" s="115"/>
    </row>
    <row r="106" spans="2:22" s="114" customFormat="1" ht="12" customHeight="1" x14ac:dyDescent="0.25">
      <c r="Q106" s="115"/>
      <c r="R106" s="115"/>
    </row>
    <row r="107" spans="2:22" s="114" customFormat="1" ht="12" customHeight="1" x14ac:dyDescent="0.25">
      <c r="Q107" s="115"/>
      <c r="R107" s="115"/>
    </row>
    <row r="108" spans="2:22" s="114" customFormat="1" ht="12" customHeight="1" x14ac:dyDescent="0.25">
      <c r="Q108" s="115"/>
      <c r="R108" s="115"/>
    </row>
    <row r="109" spans="2:22" s="114" customFormat="1" ht="12" customHeight="1" x14ac:dyDescent="0.25">
      <c r="Q109" s="115"/>
      <c r="R109" s="115"/>
    </row>
    <row r="110" spans="2:22" s="114" customFormat="1" ht="12" customHeight="1" x14ac:dyDescent="0.25">
      <c r="Q110" s="115"/>
      <c r="R110" s="115"/>
    </row>
    <row r="111" spans="2:22" s="114" customFormat="1" ht="12" customHeight="1" x14ac:dyDescent="0.25">
      <c r="Q111" s="115"/>
      <c r="R111" s="115"/>
    </row>
    <row r="112" spans="2:22" s="114" customFormat="1" ht="12" customHeight="1" x14ac:dyDescent="0.25">
      <c r="Q112" s="115"/>
      <c r="R112" s="115"/>
    </row>
    <row r="113" spans="1:29" s="114" customFormat="1" ht="12" customHeight="1" x14ac:dyDescent="0.25">
      <c r="Q113" s="115"/>
      <c r="R113" s="115"/>
    </row>
    <row r="114" spans="1:29" s="116" customFormat="1" ht="12" customHeight="1" x14ac:dyDescent="0.25">
      <c r="A114" s="1"/>
      <c r="B114" s="1"/>
      <c r="I114" s="117"/>
      <c r="J114" s="117"/>
      <c r="K114" s="117"/>
      <c r="L114" s="117"/>
      <c r="M114" s="117"/>
      <c r="N114" s="118"/>
      <c r="O114" s="118"/>
      <c r="P114" s="118"/>
      <c r="Q114" s="119"/>
      <c r="R114" s="119"/>
      <c r="S114" s="1"/>
      <c r="T114" s="1"/>
      <c r="U114" s="1"/>
      <c r="V114" s="1"/>
      <c r="W114" s="1"/>
      <c r="X114" s="1"/>
      <c r="Y114" s="1"/>
      <c r="Z114" s="1"/>
      <c r="AA114" s="1"/>
      <c r="AB114" s="1"/>
      <c r="AC114" s="1"/>
    </row>
    <row r="115" spans="1:29" s="116" customFormat="1" ht="12" customHeight="1" x14ac:dyDescent="0.25">
      <c r="A115" s="1"/>
      <c r="B115" s="1"/>
      <c r="I115" s="117"/>
      <c r="J115" s="117"/>
      <c r="K115" s="117"/>
      <c r="L115" s="117"/>
      <c r="M115" s="117"/>
      <c r="N115" s="118"/>
      <c r="O115" s="118"/>
      <c r="P115" s="118"/>
      <c r="Q115" s="119"/>
      <c r="R115" s="119"/>
      <c r="S115" s="1"/>
      <c r="T115" s="1"/>
      <c r="U115" s="1"/>
      <c r="V115" s="1"/>
      <c r="W115" s="1"/>
      <c r="X115" s="1"/>
      <c r="Y115" s="1"/>
      <c r="Z115" s="1"/>
      <c r="AA115" s="1"/>
      <c r="AB115" s="1"/>
      <c r="AC115" s="1"/>
    </row>
    <row r="116" spans="1:29" s="116" customFormat="1" ht="12" customHeight="1" x14ac:dyDescent="0.25">
      <c r="A116" s="1"/>
      <c r="B116" s="1"/>
      <c r="I116" s="117"/>
      <c r="J116" s="117"/>
      <c r="K116" s="117"/>
      <c r="L116" s="117"/>
      <c r="M116" s="117"/>
      <c r="N116" s="118"/>
      <c r="O116" s="118"/>
      <c r="P116" s="118"/>
      <c r="Q116" s="119"/>
      <c r="R116" s="119"/>
      <c r="S116" s="1"/>
      <c r="T116" s="1"/>
      <c r="U116" s="1"/>
      <c r="V116" s="1"/>
      <c r="W116" s="1"/>
      <c r="X116" s="1"/>
      <c r="Y116" s="1"/>
      <c r="Z116" s="1"/>
      <c r="AA116" s="1"/>
      <c r="AB116" s="1"/>
      <c r="AC116" s="1"/>
    </row>
    <row r="117" spans="1:29" s="116" customFormat="1" ht="12" customHeight="1" x14ac:dyDescent="0.25">
      <c r="A117" s="1"/>
      <c r="B117" s="1"/>
      <c r="I117" s="117"/>
      <c r="J117" s="117"/>
      <c r="K117" s="117"/>
      <c r="L117" s="117"/>
      <c r="M117" s="117"/>
      <c r="N117" s="118"/>
      <c r="O117" s="118"/>
      <c r="P117" s="118"/>
      <c r="Q117" s="119"/>
      <c r="R117" s="119"/>
      <c r="S117" s="1"/>
      <c r="T117" s="1"/>
      <c r="U117" s="1"/>
      <c r="V117" s="1"/>
      <c r="W117" s="1"/>
      <c r="X117" s="1"/>
      <c r="Y117" s="1"/>
      <c r="Z117" s="1"/>
      <c r="AA117" s="1"/>
      <c r="AB117" s="1"/>
      <c r="AC117" s="1"/>
    </row>
    <row r="118" spans="1:29" s="116" customFormat="1" ht="12" customHeight="1" x14ac:dyDescent="0.25">
      <c r="A118" s="1"/>
      <c r="B118" s="1"/>
      <c r="I118" s="117"/>
      <c r="J118" s="117"/>
      <c r="K118" s="117"/>
      <c r="L118" s="117"/>
      <c r="M118" s="117"/>
      <c r="N118" s="118"/>
      <c r="O118" s="118"/>
      <c r="P118" s="118"/>
      <c r="Q118" s="119"/>
      <c r="R118" s="119"/>
      <c r="S118" s="1"/>
      <c r="T118" s="1"/>
      <c r="U118" s="1"/>
      <c r="V118" s="1"/>
      <c r="W118" s="1"/>
      <c r="X118" s="1"/>
      <c r="Y118" s="1"/>
      <c r="Z118" s="1"/>
      <c r="AA118" s="1"/>
      <c r="AB118" s="1"/>
      <c r="AC118" s="1"/>
    </row>
    <row r="119" spans="1:29" ht="12" customHeight="1" x14ac:dyDescent="0.25">
      <c r="B119" s="1"/>
      <c r="C119" s="1"/>
      <c r="D119" s="1"/>
      <c r="E119" s="1"/>
      <c r="F119" s="1"/>
      <c r="G119" s="1"/>
      <c r="H119" s="1"/>
      <c r="I119" s="1"/>
      <c r="J119" s="1"/>
      <c r="K119" s="1"/>
      <c r="L119" s="1"/>
      <c r="M119" s="1"/>
      <c r="N119" s="1"/>
      <c r="O119" s="1"/>
      <c r="P119" s="1"/>
      <c r="Q119" s="120"/>
      <c r="R119" s="120"/>
    </row>
    <row r="120" spans="1:29" ht="12" customHeight="1" x14ac:dyDescent="0.25">
      <c r="B120" s="1"/>
      <c r="C120" s="1"/>
      <c r="D120" s="1"/>
      <c r="E120" s="1"/>
      <c r="F120" s="1"/>
      <c r="G120" s="1"/>
      <c r="H120" s="1"/>
      <c r="I120" s="1"/>
      <c r="J120" s="1"/>
      <c r="K120" s="1"/>
      <c r="L120" s="1"/>
      <c r="M120" s="1"/>
      <c r="N120" s="1"/>
      <c r="O120" s="1"/>
      <c r="P120" s="1"/>
      <c r="Q120" s="120"/>
      <c r="R120" s="120"/>
    </row>
    <row r="121" spans="1:29" ht="12" customHeight="1" x14ac:dyDescent="0.25">
      <c r="B121" s="1"/>
      <c r="C121" s="1"/>
      <c r="D121" s="1"/>
      <c r="E121" s="1"/>
      <c r="F121" s="1"/>
      <c r="G121" s="1"/>
      <c r="H121" s="1"/>
      <c r="I121" s="1"/>
      <c r="J121" s="1"/>
      <c r="K121" s="1"/>
      <c r="L121" s="1"/>
      <c r="M121" s="1"/>
      <c r="N121" s="1"/>
      <c r="O121" s="1"/>
      <c r="P121" s="1"/>
      <c r="Q121" s="120"/>
      <c r="R121" s="120"/>
    </row>
    <row r="122" spans="1:29" ht="12" customHeight="1" x14ac:dyDescent="0.25">
      <c r="B122" s="1"/>
      <c r="C122" s="1"/>
      <c r="D122" s="1"/>
      <c r="E122" s="1"/>
      <c r="F122" s="1"/>
      <c r="G122" s="1"/>
      <c r="H122" s="1"/>
      <c r="I122" s="1"/>
      <c r="J122" s="1"/>
      <c r="K122" s="1"/>
      <c r="L122" s="1"/>
      <c r="M122" s="1"/>
      <c r="N122" s="1"/>
      <c r="O122" s="1"/>
      <c r="P122" s="1"/>
      <c r="Q122" s="120"/>
      <c r="R122" s="120"/>
    </row>
    <row r="123" spans="1:29" ht="12" customHeight="1" x14ac:dyDescent="0.25">
      <c r="B123" s="1"/>
      <c r="C123" s="1"/>
      <c r="D123" s="1"/>
      <c r="E123" s="1"/>
      <c r="F123" s="1"/>
      <c r="G123" s="1"/>
      <c r="H123" s="1"/>
      <c r="I123" s="1"/>
      <c r="J123" s="1"/>
      <c r="K123" s="1"/>
      <c r="L123" s="1"/>
      <c r="M123" s="1"/>
      <c r="N123" s="1"/>
      <c r="O123" s="1"/>
      <c r="P123" s="1"/>
      <c r="Q123" s="120"/>
      <c r="R123" s="120"/>
    </row>
    <row r="124" spans="1:29" ht="12" customHeight="1" x14ac:dyDescent="0.25">
      <c r="B124" s="1"/>
      <c r="C124" s="1"/>
      <c r="D124" s="1"/>
      <c r="E124" s="1"/>
      <c r="F124" s="1"/>
      <c r="G124" s="1"/>
      <c r="H124" s="1"/>
      <c r="I124" s="1"/>
      <c r="J124" s="1"/>
      <c r="K124" s="1"/>
      <c r="L124" s="1"/>
      <c r="M124" s="1"/>
      <c r="N124" s="1"/>
      <c r="O124" s="1"/>
      <c r="P124" s="1"/>
      <c r="Q124" s="120"/>
      <c r="R124" s="120"/>
    </row>
    <row r="125" spans="1:29" ht="12" customHeight="1" x14ac:dyDescent="0.25">
      <c r="B125" s="1"/>
      <c r="C125" s="1"/>
      <c r="D125" s="1"/>
      <c r="E125" s="1"/>
      <c r="F125" s="1"/>
      <c r="G125" s="1"/>
      <c r="H125" s="1"/>
      <c r="I125" s="1"/>
      <c r="J125" s="1"/>
      <c r="K125" s="1"/>
      <c r="L125" s="1"/>
      <c r="M125" s="1"/>
      <c r="N125" s="1"/>
      <c r="O125" s="1"/>
      <c r="P125" s="1"/>
      <c r="Q125" s="120"/>
      <c r="R125" s="120"/>
    </row>
    <row r="126" spans="1:29" ht="12" customHeight="1" x14ac:dyDescent="0.25">
      <c r="B126" s="1"/>
      <c r="C126" s="1"/>
      <c r="D126" s="1"/>
      <c r="E126" s="1"/>
      <c r="F126" s="1"/>
      <c r="G126" s="1"/>
      <c r="H126" s="1"/>
      <c r="I126" s="1"/>
      <c r="J126" s="1"/>
      <c r="K126" s="1"/>
      <c r="L126" s="1"/>
      <c r="M126" s="1"/>
      <c r="N126" s="1"/>
      <c r="O126" s="1"/>
      <c r="P126" s="1"/>
      <c r="Q126" s="120"/>
      <c r="R126" s="120"/>
    </row>
    <row r="127" spans="1:29" ht="12" customHeight="1" x14ac:dyDescent="0.25">
      <c r="B127" s="1"/>
      <c r="C127" s="1"/>
      <c r="D127" s="1"/>
      <c r="E127" s="1"/>
      <c r="F127" s="1"/>
      <c r="G127" s="1"/>
      <c r="H127" s="1"/>
      <c r="I127" s="1"/>
      <c r="J127" s="1"/>
      <c r="K127" s="1"/>
      <c r="L127" s="1"/>
      <c r="M127" s="1"/>
      <c r="N127" s="1"/>
      <c r="O127" s="1"/>
      <c r="P127" s="1"/>
      <c r="Q127" s="120"/>
      <c r="R127" s="120"/>
    </row>
    <row r="128" spans="1:29" ht="12" customHeight="1" x14ac:dyDescent="0.25">
      <c r="B128" s="1"/>
      <c r="C128" s="1"/>
      <c r="D128" s="1"/>
      <c r="E128" s="1"/>
      <c r="F128" s="1"/>
      <c r="G128" s="1"/>
      <c r="H128" s="1"/>
      <c r="I128" s="1"/>
      <c r="J128" s="1"/>
      <c r="K128" s="1"/>
      <c r="L128" s="1"/>
      <c r="M128" s="1"/>
      <c r="N128" s="1"/>
      <c r="O128" s="1"/>
      <c r="P128" s="1"/>
      <c r="Q128" s="120"/>
      <c r="R128" s="120"/>
    </row>
    <row r="129" spans="2:18" ht="12" customHeight="1" x14ac:dyDescent="0.25">
      <c r="B129" s="1"/>
      <c r="C129" s="1"/>
      <c r="D129" s="1"/>
      <c r="E129" s="1"/>
      <c r="F129" s="1"/>
      <c r="G129" s="1"/>
      <c r="H129" s="1"/>
      <c r="I129" s="1"/>
      <c r="J129" s="1"/>
      <c r="K129" s="1"/>
      <c r="L129" s="1"/>
      <c r="M129" s="1"/>
      <c r="N129" s="1"/>
      <c r="O129" s="1"/>
      <c r="P129" s="1"/>
      <c r="Q129" s="120"/>
      <c r="R129" s="120"/>
    </row>
    <row r="130" spans="2:18" ht="12" customHeight="1" x14ac:dyDescent="0.25">
      <c r="B130" s="1"/>
      <c r="C130" s="1"/>
      <c r="D130" s="1"/>
      <c r="E130" s="1"/>
      <c r="F130" s="1"/>
      <c r="G130" s="1"/>
      <c r="H130" s="1"/>
      <c r="I130" s="1"/>
      <c r="J130" s="1"/>
      <c r="K130" s="1"/>
      <c r="L130" s="1"/>
      <c r="M130" s="1"/>
      <c r="N130" s="1"/>
      <c r="O130" s="1"/>
      <c r="P130" s="1"/>
      <c r="Q130" s="120"/>
      <c r="R130" s="120"/>
    </row>
    <row r="131" spans="2:18" ht="12" customHeight="1" x14ac:dyDescent="0.25">
      <c r="B131" s="1"/>
      <c r="C131" s="1"/>
      <c r="D131" s="1"/>
      <c r="E131" s="1"/>
      <c r="F131" s="1"/>
      <c r="G131" s="1"/>
      <c r="H131" s="1"/>
      <c r="I131" s="1"/>
      <c r="J131" s="1"/>
      <c r="K131" s="1"/>
      <c r="L131" s="1"/>
      <c r="M131" s="1"/>
      <c r="N131" s="1"/>
      <c r="O131" s="1"/>
      <c r="P131" s="1"/>
      <c r="Q131" s="120"/>
      <c r="R131" s="120"/>
    </row>
    <row r="132" spans="2:18" ht="12" customHeight="1" x14ac:dyDescent="0.25">
      <c r="B132" s="1"/>
      <c r="C132" s="1"/>
      <c r="D132" s="1"/>
      <c r="E132" s="1"/>
      <c r="F132" s="1"/>
      <c r="G132" s="1"/>
      <c r="H132" s="1"/>
      <c r="I132" s="1"/>
      <c r="J132" s="1"/>
      <c r="K132" s="1"/>
      <c r="L132" s="1"/>
      <c r="M132" s="1"/>
      <c r="N132" s="1"/>
      <c r="O132" s="1"/>
      <c r="P132" s="1"/>
      <c r="Q132" s="120"/>
      <c r="R132" s="120"/>
    </row>
    <row r="133" spans="2:18" ht="12" customHeight="1" x14ac:dyDescent="0.25">
      <c r="B133" s="1"/>
      <c r="C133" s="1"/>
      <c r="D133" s="1"/>
      <c r="E133" s="1"/>
      <c r="F133" s="1"/>
      <c r="G133" s="1"/>
      <c r="H133" s="1"/>
      <c r="I133" s="1"/>
      <c r="J133" s="1"/>
      <c r="K133" s="1"/>
      <c r="L133" s="1"/>
      <c r="M133" s="1"/>
      <c r="N133" s="1"/>
      <c r="O133" s="1"/>
      <c r="P133" s="1"/>
      <c r="Q133" s="120"/>
      <c r="R133" s="120"/>
    </row>
    <row r="134" spans="2:18" ht="12" customHeight="1" x14ac:dyDescent="0.25">
      <c r="B134" s="1"/>
      <c r="C134" s="1"/>
      <c r="D134" s="1"/>
      <c r="E134" s="1"/>
      <c r="F134" s="1"/>
      <c r="G134" s="1"/>
      <c r="H134" s="1"/>
      <c r="I134" s="1"/>
      <c r="J134" s="1"/>
      <c r="K134" s="1"/>
      <c r="L134" s="1"/>
      <c r="M134" s="1"/>
      <c r="N134" s="1"/>
      <c r="O134" s="1"/>
      <c r="P134" s="1"/>
      <c r="Q134" s="120"/>
      <c r="R134" s="120"/>
    </row>
    <row r="135" spans="2:18" ht="12" customHeight="1" x14ac:dyDescent="0.25">
      <c r="B135" s="1"/>
      <c r="C135" s="1"/>
      <c r="D135" s="1"/>
      <c r="E135" s="1"/>
      <c r="F135" s="1"/>
      <c r="G135" s="1"/>
      <c r="H135" s="1"/>
      <c r="I135" s="1"/>
      <c r="J135" s="1"/>
      <c r="K135" s="1"/>
      <c r="L135" s="1"/>
      <c r="M135" s="1"/>
      <c r="N135" s="1"/>
      <c r="O135" s="1"/>
      <c r="P135" s="1"/>
      <c r="Q135" s="120"/>
      <c r="R135" s="120"/>
    </row>
    <row r="136" spans="2:18" ht="12" customHeight="1" x14ac:dyDescent="0.25">
      <c r="B136" s="1"/>
      <c r="C136" s="1"/>
      <c r="D136" s="1"/>
      <c r="E136" s="1"/>
      <c r="F136" s="1"/>
      <c r="G136" s="1"/>
      <c r="H136" s="1"/>
      <c r="I136" s="1"/>
      <c r="J136" s="1"/>
      <c r="K136" s="1"/>
      <c r="L136" s="1"/>
      <c r="M136" s="1"/>
      <c r="N136" s="1"/>
      <c r="O136" s="1"/>
      <c r="P136" s="1"/>
      <c r="Q136" s="120"/>
      <c r="R136" s="120"/>
    </row>
    <row r="137" spans="2:18" ht="12" customHeight="1" x14ac:dyDescent="0.25">
      <c r="B137" s="1"/>
      <c r="C137" s="1"/>
      <c r="D137" s="1"/>
      <c r="E137" s="1"/>
      <c r="F137" s="1"/>
      <c r="G137" s="1"/>
      <c r="H137" s="1"/>
      <c r="I137" s="1"/>
      <c r="J137" s="1"/>
      <c r="K137" s="1"/>
      <c r="L137" s="1"/>
      <c r="M137" s="1"/>
      <c r="N137" s="1"/>
      <c r="O137" s="1"/>
      <c r="P137" s="1"/>
      <c r="Q137" s="120"/>
      <c r="R137" s="120"/>
    </row>
    <row r="138" spans="2:18" ht="12" customHeight="1" x14ac:dyDescent="0.25">
      <c r="B138" s="1"/>
      <c r="C138" s="1"/>
      <c r="D138" s="1"/>
      <c r="E138" s="1"/>
      <c r="F138" s="1"/>
      <c r="G138" s="1"/>
      <c r="H138" s="1"/>
      <c r="I138" s="1"/>
      <c r="J138" s="1"/>
      <c r="K138" s="1"/>
      <c r="L138" s="1"/>
      <c r="M138" s="1"/>
      <c r="N138" s="1"/>
      <c r="O138" s="1"/>
      <c r="P138" s="1"/>
      <c r="Q138" s="120"/>
      <c r="R138" s="120"/>
    </row>
    <row r="139" spans="2:18" ht="12" customHeight="1" x14ac:dyDescent="0.25">
      <c r="B139" s="1"/>
      <c r="C139" s="1"/>
      <c r="D139" s="1"/>
      <c r="E139" s="1"/>
      <c r="F139" s="1"/>
      <c r="G139" s="1"/>
      <c r="H139" s="1"/>
      <c r="I139" s="1"/>
      <c r="J139" s="1"/>
      <c r="K139" s="1"/>
      <c r="L139" s="1"/>
      <c r="M139" s="1"/>
      <c r="N139" s="1"/>
      <c r="O139" s="1"/>
      <c r="P139" s="1"/>
      <c r="Q139" s="120"/>
      <c r="R139" s="120"/>
    </row>
    <row r="140" spans="2:18" ht="12" customHeight="1" x14ac:dyDescent="0.25">
      <c r="B140" s="1"/>
      <c r="C140" s="1"/>
      <c r="D140" s="1"/>
      <c r="E140" s="1"/>
      <c r="F140" s="1"/>
      <c r="G140" s="1"/>
      <c r="H140" s="1"/>
      <c r="I140" s="1"/>
      <c r="J140" s="1"/>
      <c r="K140" s="1"/>
      <c r="L140" s="1"/>
      <c r="M140" s="1"/>
      <c r="N140" s="1"/>
      <c r="O140" s="1"/>
      <c r="P140" s="1"/>
      <c r="Q140" s="120"/>
      <c r="R140" s="120"/>
    </row>
    <row r="141" spans="2:18" ht="12" customHeight="1" x14ac:dyDescent="0.25">
      <c r="B141" s="1"/>
      <c r="C141" s="1"/>
      <c r="D141" s="1"/>
      <c r="E141" s="1"/>
      <c r="F141" s="1"/>
      <c r="G141" s="1"/>
      <c r="H141" s="1"/>
      <c r="I141" s="1"/>
      <c r="J141" s="1"/>
      <c r="K141" s="1"/>
      <c r="L141" s="1"/>
      <c r="M141" s="1"/>
      <c r="N141" s="1"/>
      <c r="O141" s="1"/>
      <c r="P141" s="1"/>
      <c r="Q141" s="120"/>
      <c r="R141" s="120"/>
    </row>
    <row r="142" spans="2:18" ht="12" customHeight="1" x14ac:dyDescent="0.25">
      <c r="B142" s="1"/>
      <c r="C142" s="1"/>
      <c r="D142" s="1"/>
      <c r="E142" s="1"/>
      <c r="F142" s="1"/>
      <c r="G142" s="1"/>
      <c r="H142" s="1"/>
      <c r="I142" s="1"/>
      <c r="J142" s="1"/>
      <c r="K142" s="1"/>
      <c r="L142" s="1"/>
      <c r="M142" s="1"/>
      <c r="N142" s="1"/>
      <c r="O142" s="1"/>
      <c r="P142" s="1"/>
      <c r="Q142" s="120"/>
      <c r="R142" s="120"/>
    </row>
    <row r="143" spans="2:18" ht="12" customHeight="1" x14ac:dyDescent="0.25">
      <c r="B143" s="1"/>
      <c r="C143" s="1"/>
      <c r="D143" s="1"/>
      <c r="E143" s="1"/>
      <c r="F143" s="1"/>
      <c r="G143" s="1"/>
      <c r="H143" s="1"/>
      <c r="I143" s="1"/>
      <c r="J143" s="1"/>
      <c r="K143" s="1"/>
      <c r="L143" s="1"/>
      <c r="M143" s="1"/>
      <c r="N143" s="1"/>
      <c r="O143" s="1"/>
      <c r="P143" s="1"/>
      <c r="Q143" s="120"/>
      <c r="R143" s="120"/>
    </row>
    <row r="144" spans="2:18" ht="12" customHeight="1" x14ac:dyDescent="0.25">
      <c r="B144" s="1"/>
      <c r="C144" s="1"/>
      <c r="D144" s="1"/>
      <c r="E144" s="1"/>
      <c r="F144" s="1"/>
      <c r="G144" s="1"/>
      <c r="H144" s="1"/>
      <c r="I144" s="1"/>
      <c r="J144" s="1"/>
      <c r="K144" s="1"/>
      <c r="L144" s="1"/>
      <c r="M144" s="1"/>
      <c r="N144" s="1"/>
      <c r="O144" s="1"/>
      <c r="P144" s="1"/>
      <c r="Q144" s="120"/>
      <c r="R144" s="120"/>
    </row>
    <row r="145" spans="2:18" ht="12" customHeight="1" x14ac:dyDescent="0.25">
      <c r="B145" s="1"/>
      <c r="C145" s="1"/>
      <c r="D145" s="1"/>
      <c r="E145" s="1"/>
      <c r="F145" s="1"/>
      <c r="G145" s="1"/>
      <c r="H145" s="1"/>
      <c r="I145" s="1"/>
      <c r="J145" s="1"/>
      <c r="K145" s="1"/>
      <c r="L145" s="1"/>
      <c r="M145" s="1"/>
      <c r="N145" s="1"/>
      <c r="O145" s="1"/>
      <c r="P145" s="1"/>
      <c r="Q145" s="120"/>
      <c r="R145" s="120"/>
    </row>
    <row r="146" spans="2:18" ht="12" customHeight="1" x14ac:dyDescent="0.25">
      <c r="B146" s="1"/>
      <c r="C146" s="1"/>
      <c r="D146" s="1"/>
      <c r="E146" s="1"/>
      <c r="F146" s="1"/>
      <c r="G146" s="1"/>
      <c r="H146" s="1"/>
      <c r="I146" s="1"/>
      <c r="J146" s="1"/>
      <c r="K146" s="1"/>
      <c r="L146" s="1"/>
      <c r="M146" s="1"/>
      <c r="N146" s="1"/>
      <c r="O146" s="1"/>
      <c r="P146" s="1"/>
      <c r="Q146" s="120"/>
      <c r="R146" s="120"/>
    </row>
    <row r="147" spans="2:18" ht="12" customHeight="1" x14ac:dyDescent="0.25">
      <c r="B147" s="1"/>
      <c r="C147" s="1"/>
      <c r="D147" s="1"/>
      <c r="E147" s="1"/>
      <c r="F147" s="1"/>
      <c r="G147" s="1"/>
      <c r="H147" s="1"/>
      <c r="I147" s="1"/>
      <c r="J147" s="1"/>
      <c r="K147" s="1"/>
      <c r="L147" s="1"/>
      <c r="M147" s="1"/>
      <c r="N147" s="1"/>
      <c r="O147" s="1"/>
      <c r="P147" s="1"/>
      <c r="Q147" s="120"/>
      <c r="R147" s="120"/>
    </row>
    <row r="148" spans="2:18" ht="12" customHeight="1" x14ac:dyDescent="0.25">
      <c r="B148" s="1"/>
      <c r="C148" s="1"/>
      <c r="D148" s="1"/>
      <c r="E148" s="1"/>
      <c r="F148" s="1"/>
      <c r="G148" s="1"/>
      <c r="H148" s="1"/>
      <c r="I148" s="1"/>
      <c r="J148" s="1"/>
      <c r="K148" s="1"/>
      <c r="L148" s="1"/>
      <c r="M148" s="1"/>
      <c r="N148" s="1"/>
      <c r="O148" s="1"/>
      <c r="P148" s="1"/>
      <c r="Q148" s="120"/>
      <c r="R148" s="120"/>
    </row>
    <row r="149" spans="2:18" ht="12" customHeight="1" x14ac:dyDescent="0.25">
      <c r="B149" s="1"/>
      <c r="C149" s="1"/>
      <c r="D149" s="1"/>
      <c r="E149" s="1"/>
      <c r="F149" s="1"/>
      <c r="G149" s="1"/>
      <c r="H149" s="1"/>
      <c r="I149" s="1"/>
      <c r="J149" s="1"/>
      <c r="K149" s="1"/>
      <c r="L149" s="1"/>
      <c r="M149" s="1"/>
      <c r="N149" s="1"/>
      <c r="O149" s="1"/>
      <c r="P149" s="1"/>
      <c r="Q149" s="120"/>
      <c r="R149" s="120"/>
    </row>
    <row r="150" spans="2:18" ht="12" customHeight="1" x14ac:dyDescent="0.25">
      <c r="B150" s="1"/>
      <c r="C150" s="1"/>
      <c r="D150" s="1"/>
      <c r="E150" s="1"/>
      <c r="F150" s="1"/>
      <c r="G150" s="1"/>
      <c r="H150" s="1"/>
      <c r="I150" s="1"/>
      <c r="J150" s="1"/>
      <c r="K150" s="1"/>
      <c r="L150" s="1"/>
      <c r="M150" s="1"/>
      <c r="N150" s="1"/>
      <c r="O150" s="1"/>
      <c r="P150" s="1"/>
      <c r="Q150" s="120"/>
      <c r="R150" s="120"/>
    </row>
    <row r="151" spans="2:18" ht="12" customHeight="1" x14ac:dyDescent="0.25">
      <c r="B151" s="1"/>
      <c r="C151" s="1"/>
      <c r="D151" s="1"/>
      <c r="E151" s="1"/>
      <c r="F151" s="1"/>
      <c r="G151" s="1"/>
      <c r="H151" s="1"/>
      <c r="I151" s="1"/>
      <c r="J151" s="1"/>
      <c r="K151" s="1"/>
      <c r="L151" s="1"/>
      <c r="M151" s="1"/>
      <c r="N151" s="1"/>
      <c r="O151" s="1"/>
      <c r="P151" s="1"/>
      <c r="Q151" s="120"/>
      <c r="R151" s="120"/>
    </row>
    <row r="152" spans="2:18" ht="12" customHeight="1" x14ac:dyDescent="0.25">
      <c r="B152" s="1"/>
      <c r="C152" s="1"/>
      <c r="D152" s="1"/>
      <c r="E152" s="1"/>
      <c r="F152" s="1"/>
      <c r="G152" s="1"/>
      <c r="H152" s="1"/>
      <c r="I152" s="1"/>
      <c r="J152" s="1"/>
      <c r="K152" s="1"/>
      <c r="L152" s="1"/>
      <c r="M152" s="1"/>
      <c r="N152" s="1"/>
      <c r="O152" s="1"/>
      <c r="P152" s="1"/>
      <c r="Q152" s="120"/>
      <c r="R152" s="120"/>
    </row>
    <row r="153" spans="2:18" ht="12" customHeight="1" x14ac:dyDescent="0.25">
      <c r="B153" s="1"/>
      <c r="C153" s="1"/>
      <c r="D153" s="1"/>
      <c r="E153" s="1"/>
      <c r="F153" s="1"/>
      <c r="G153" s="1"/>
      <c r="H153" s="1"/>
      <c r="I153" s="1"/>
      <c r="J153" s="1"/>
      <c r="K153" s="1"/>
      <c r="L153" s="1"/>
      <c r="M153" s="1"/>
      <c r="N153" s="1"/>
      <c r="O153" s="1"/>
      <c r="P153" s="1"/>
      <c r="Q153" s="120"/>
      <c r="R153" s="120"/>
    </row>
    <row r="154" spans="2:18" ht="12" customHeight="1" x14ac:dyDescent="0.25">
      <c r="B154" s="1"/>
      <c r="C154" s="1"/>
      <c r="D154" s="1"/>
      <c r="E154" s="1"/>
      <c r="F154" s="1"/>
      <c r="G154" s="1"/>
      <c r="H154" s="1"/>
      <c r="I154" s="1"/>
      <c r="J154" s="1"/>
      <c r="K154" s="1"/>
      <c r="L154" s="1"/>
      <c r="M154" s="1"/>
      <c r="N154" s="1"/>
      <c r="O154" s="1"/>
      <c r="P154" s="1"/>
      <c r="Q154" s="120"/>
      <c r="R154" s="120"/>
    </row>
    <row r="155" spans="2:18" ht="12" customHeight="1" x14ac:dyDescent="0.25">
      <c r="B155" s="1"/>
      <c r="C155" s="1"/>
      <c r="D155" s="1"/>
      <c r="E155" s="1"/>
      <c r="F155" s="1"/>
      <c r="G155" s="1"/>
      <c r="H155" s="1"/>
      <c r="I155" s="1"/>
      <c r="J155" s="1"/>
      <c r="K155" s="1"/>
      <c r="L155" s="1"/>
      <c r="M155" s="1"/>
      <c r="N155" s="1"/>
      <c r="O155" s="1"/>
      <c r="P155" s="1"/>
      <c r="Q155" s="120"/>
      <c r="R155" s="120"/>
    </row>
    <row r="156" spans="2:18" ht="12" customHeight="1" x14ac:dyDescent="0.25">
      <c r="B156" s="1"/>
      <c r="C156" s="1"/>
      <c r="D156" s="1"/>
      <c r="E156" s="1"/>
      <c r="F156" s="1"/>
      <c r="G156" s="1"/>
      <c r="H156" s="1"/>
      <c r="I156" s="1"/>
      <c r="J156" s="1"/>
      <c r="K156" s="1"/>
      <c r="L156" s="1"/>
      <c r="M156" s="1"/>
      <c r="N156" s="1"/>
      <c r="O156" s="1"/>
      <c r="P156" s="1"/>
      <c r="Q156" s="120"/>
      <c r="R156" s="120"/>
    </row>
    <row r="157" spans="2:18" ht="12" customHeight="1" x14ac:dyDescent="0.25">
      <c r="B157" s="1"/>
      <c r="C157" s="1"/>
      <c r="D157" s="1"/>
      <c r="E157" s="1"/>
      <c r="F157" s="1"/>
      <c r="G157" s="1"/>
      <c r="H157" s="1"/>
      <c r="I157" s="1"/>
      <c r="J157" s="1"/>
      <c r="K157" s="1"/>
      <c r="L157" s="1"/>
      <c r="M157" s="1"/>
      <c r="N157" s="1"/>
      <c r="O157" s="1"/>
      <c r="P157" s="1"/>
      <c r="Q157" s="120"/>
      <c r="R157" s="120"/>
    </row>
    <row r="158" spans="2:18" ht="12" customHeight="1" x14ac:dyDescent="0.25">
      <c r="B158" s="1"/>
      <c r="C158" s="1"/>
      <c r="D158" s="1"/>
      <c r="E158" s="1"/>
      <c r="F158" s="1"/>
      <c r="G158" s="1"/>
      <c r="H158" s="1"/>
      <c r="I158" s="1"/>
      <c r="J158" s="1"/>
      <c r="K158" s="1"/>
      <c r="L158" s="1"/>
      <c r="M158" s="1"/>
      <c r="N158" s="1"/>
      <c r="O158" s="1"/>
      <c r="P158" s="1"/>
      <c r="Q158" s="120"/>
      <c r="R158" s="120"/>
    </row>
    <row r="159" spans="2:18" ht="12" customHeight="1" x14ac:dyDescent="0.25">
      <c r="B159" s="1"/>
      <c r="C159" s="1"/>
      <c r="D159" s="1"/>
      <c r="E159" s="1"/>
      <c r="F159" s="1"/>
      <c r="G159" s="1"/>
      <c r="H159" s="1"/>
      <c r="I159" s="1"/>
      <c r="J159" s="1"/>
      <c r="K159" s="1"/>
      <c r="L159" s="1"/>
      <c r="M159" s="1"/>
      <c r="N159" s="1"/>
      <c r="O159" s="1"/>
      <c r="P159" s="1"/>
      <c r="Q159" s="120"/>
      <c r="R159" s="120"/>
    </row>
    <row r="160" spans="2:18" ht="12" customHeight="1" x14ac:dyDescent="0.25">
      <c r="B160" s="1"/>
      <c r="C160" s="1"/>
      <c r="D160" s="1"/>
      <c r="E160" s="1"/>
      <c r="F160" s="1"/>
      <c r="G160" s="1"/>
      <c r="H160" s="1"/>
      <c r="I160" s="1"/>
      <c r="J160" s="1"/>
      <c r="K160" s="1"/>
      <c r="L160" s="1"/>
      <c r="M160" s="1"/>
      <c r="N160" s="1"/>
      <c r="O160" s="1"/>
      <c r="P160" s="1"/>
      <c r="Q160" s="120"/>
      <c r="R160" s="120"/>
    </row>
    <row r="161" spans="2:18" ht="12" customHeight="1" x14ac:dyDescent="0.25">
      <c r="B161" s="1"/>
      <c r="C161" s="1"/>
      <c r="D161" s="1"/>
      <c r="E161" s="1"/>
      <c r="F161" s="1"/>
      <c r="G161" s="1"/>
      <c r="H161" s="1"/>
      <c r="I161" s="1"/>
      <c r="J161" s="1"/>
      <c r="K161" s="1"/>
      <c r="L161" s="1"/>
      <c r="M161" s="1"/>
      <c r="N161" s="1"/>
      <c r="O161" s="1"/>
      <c r="P161" s="1"/>
      <c r="Q161" s="120"/>
      <c r="R161" s="120"/>
    </row>
    <row r="162" spans="2:18" ht="12" customHeight="1" x14ac:dyDescent="0.25">
      <c r="B162" s="1"/>
      <c r="C162" s="1"/>
      <c r="D162" s="1"/>
      <c r="E162" s="1"/>
      <c r="F162" s="1"/>
      <c r="G162" s="1"/>
      <c r="H162" s="1"/>
      <c r="I162" s="1"/>
      <c r="J162" s="1"/>
      <c r="K162" s="1"/>
      <c r="L162" s="1"/>
      <c r="M162" s="1"/>
      <c r="N162" s="1"/>
      <c r="O162" s="1"/>
      <c r="P162" s="1"/>
      <c r="Q162" s="120"/>
      <c r="R162" s="120"/>
    </row>
    <row r="163" spans="2:18" ht="12" customHeight="1" x14ac:dyDescent="0.25">
      <c r="B163" s="1"/>
      <c r="C163" s="1"/>
      <c r="D163" s="1"/>
      <c r="E163" s="1"/>
      <c r="F163" s="1"/>
      <c r="G163" s="1"/>
      <c r="H163" s="1"/>
      <c r="I163" s="1"/>
      <c r="J163" s="1"/>
      <c r="K163" s="1"/>
      <c r="L163" s="1"/>
      <c r="M163" s="1"/>
      <c r="N163" s="1"/>
      <c r="O163" s="1"/>
      <c r="P163" s="1"/>
      <c r="Q163" s="120"/>
      <c r="R163" s="120"/>
    </row>
    <row r="164" spans="2:18" ht="12" customHeight="1" x14ac:dyDescent="0.25">
      <c r="B164" s="1"/>
      <c r="C164" s="1"/>
      <c r="D164" s="1"/>
      <c r="E164" s="1"/>
      <c r="F164" s="1"/>
      <c r="G164" s="1"/>
      <c r="H164" s="1"/>
      <c r="I164" s="1"/>
      <c r="J164" s="1"/>
      <c r="K164" s="1"/>
      <c r="L164" s="1"/>
      <c r="M164" s="1"/>
      <c r="N164" s="1"/>
      <c r="O164" s="1"/>
      <c r="P164" s="1"/>
      <c r="Q164" s="120"/>
      <c r="R164" s="120"/>
    </row>
    <row r="165" spans="2:18" ht="12" customHeight="1" x14ac:dyDescent="0.25">
      <c r="B165" s="1"/>
      <c r="C165" s="1"/>
      <c r="D165" s="1"/>
      <c r="E165" s="1"/>
      <c r="F165" s="1"/>
      <c r="G165" s="1"/>
      <c r="H165" s="1"/>
      <c r="I165" s="1"/>
      <c r="J165" s="1"/>
      <c r="K165" s="1"/>
      <c r="L165" s="1"/>
      <c r="M165" s="1"/>
      <c r="N165" s="1"/>
      <c r="O165" s="1"/>
      <c r="P165" s="1"/>
      <c r="Q165" s="120"/>
      <c r="R165" s="120"/>
    </row>
    <row r="166" spans="2:18" ht="12" customHeight="1" x14ac:dyDescent="0.25">
      <c r="B166" s="1"/>
      <c r="C166" s="1"/>
      <c r="D166" s="1"/>
      <c r="E166" s="1"/>
      <c r="F166" s="1"/>
      <c r="G166" s="1"/>
      <c r="H166" s="1"/>
      <c r="I166" s="1"/>
      <c r="J166" s="1"/>
      <c r="K166" s="1"/>
      <c r="L166" s="1"/>
      <c r="M166" s="1"/>
      <c r="N166" s="1"/>
      <c r="O166" s="1"/>
      <c r="P166" s="1"/>
      <c r="Q166" s="120"/>
      <c r="R166" s="120"/>
    </row>
    <row r="167" spans="2:18" ht="12" customHeight="1" x14ac:dyDescent="0.25">
      <c r="B167" s="1"/>
      <c r="C167" s="1"/>
      <c r="D167" s="1"/>
      <c r="E167" s="1"/>
      <c r="F167" s="1"/>
      <c r="G167" s="1"/>
      <c r="H167" s="1"/>
      <c r="I167" s="1"/>
      <c r="J167" s="1"/>
      <c r="K167" s="1"/>
      <c r="L167" s="1"/>
      <c r="M167" s="1"/>
      <c r="N167" s="1"/>
      <c r="O167" s="1"/>
      <c r="P167" s="1"/>
      <c r="Q167" s="120"/>
      <c r="R167" s="120"/>
    </row>
    <row r="168" spans="2:18" ht="12" customHeight="1" x14ac:dyDescent="0.25">
      <c r="B168" s="1"/>
      <c r="C168" s="1"/>
      <c r="D168" s="1"/>
      <c r="E168" s="1"/>
      <c r="F168" s="1"/>
      <c r="G168" s="1"/>
      <c r="H168" s="1"/>
      <c r="I168" s="1"/>
      <c r="J168" s="1"/>
      <c r="K168" s="1"/>
      <c r="L168" s="1"/>
      <c r="M168" s="1"/>
      <c r="N168" s="1"/>
      <c r="O168" s="1"/>
      <c r="P168" s="1"/>
      <c r="Q168" s="120"/>
      <c r="R168" s="120"/>
    </row>
    <row r="169" spans="2:18" ht="12" customHeight="1" x14ac:dyDescent="0.25">
      <c r="B169" s="1"/>
      <c r="C169" s="1"/>
      <c r="D169" s="1"/>
      <c r="E169" s="1"/>
      <c r="F169" s="1"/>
      <c r="G169" s="1"/>
      <c r="H169" s="1"/>
      <c r="I169" s="1"/>
      <c r="J169" s="1"/>
      <c r="K169" s="1"/>
      <c r="L169" s="1"/>
      <c r="M169" s="1"/>
      <c r="N169" s="1"/>
      <c r="O169" s="1"/>
      <c r="P169" s="1"/>
      <c r="Q169" s="120"/>
      <c r="R169" s="120"/>
    </row>
    <row r="170" spans="2:18" ht="12" customHeight="1" x14ac:dyDescent="0.25">
      <c r="B170" s="1"/>
      <c r="C170" s="1"/>
      <c r="D170" s="1"/>
      <c r="E170" s="1"/>
      <c r="F170" s="1"/>
      <c r="G170" s="1"/>
      <c r="H170" s="1"/>
      <c r="I170" s="1"/>
      <c r="J170" s="1"/>
      <c r="K170" s="1"/>
      <c r="L170" s="1"/>
      <c r="M170" s="1"/>
      <c r="N170" s="1"/>
      <c r="O170" s="1"/>
      <c r="P170" s="1"/>
      <c r="Q170" s="120"/>
      <c r="R170" s="120"/>
    </row>
    <row r="171" spans="2:18" ht="12" customHeight="1" x14ac:dyDescent="0.25">
      <c r="B171" s="1"/>
      <c r="C171" s="1"/>
      <c r="D171" s="1"/>
      <c r="E171" s="1"/>
      <c r="F171" s="1"/>
      <c r="G171" s="1"/>
      <c r="H171" s="1"/>
      <c r="I171" s="1"/>
      <c r="J171" s="1"/>
      <c r="K171" s="1"/>
      <c r="L171" s="1"/>
      <c r="M171" s="1"/>
      <c r="N171" s="1"/>
      <c r="O171" s="1"/>
      <c r="P171" s="1"/>
      <c r="Q171" s="120"/>
      <c r="R171" s="120"/>
    </row>
    <row r="172" spans="2:18" ht="12" customHeight="1" x14ac:dyDescent="0.25">
      <c r="B172" s="1"/>
      <c r="C172" s="1"/>
      <c r="D172" s="1"/>
      <c r="E172" s="1"/>
      <c r="F172" s="1"/>
      <c r="G172" s="1"/>
      <c r="H172" s="1"/>
      <c r="I172" s="1"/>
      <c r="J172" s="1"/>
      <c r="K172" s="1"/>
      <c r="L172" s="1"/>
      <c r="M172" s="1"/>
      <c r="N172" s="1"/>
      <c r="O172" s="1"/>
      <c r="P172" s="1"/>
      <c r="Q172" s="120"/>
      <c r="R172" s="120"/>
    </row>
    <row r="173" spans="2:18" ht="12" customHeight="1" x14ac:dyDescent="0.25">
      <c r="B173" s="1"/>
      <c r="C173" s="1"/>
      <c r="D173" s="1"/>
      <c r="E173" s="1"/>
      <c r="F173" s="1"/>
      <c r="G173" s="1"/>
      <c r="H173" s="1"/>
      <c r="I173" s="1"/>
      <c r="J173" s="1"/>
      <c r="K173" s="1"/>
      <c r="L173" s="1"/>
      <c r="M173" s="1"/>
      <c r="N173" s="1"/>
      <c r="O173" s="1"/>
      <c r="P173" s="1"/>
      <c r="Q173" s="120"/>
      <c r="R173" s="120"/>
    </row>
  </sheetData>
  <sheetProtection formatCells="0" selectLockedCells="1" selectUnlockedCells="1"/>
  <mergeCells count="167">
    <mergeCell ref="C9:I9"/>
    <mergeCell ref="C10:I10"/>
    <mergeCell ref="C11:I11"/>
    <mergeCell ref="C12:I12"/>
    <mergeCell ref="C14:I14"/>
    <mergeCell ref="C22:I22"/>
    <mergeCell ref="C15:I15"/>
    <mergeCell ref="C24:I24"/>
    <mergeCell ref="C23:I23"/>
    <mergeCell ref="C20:I20"/>
    <mergeCell ref="C21:I21"/>
    <mergeCell ref="C17:I17"/>
    <mergeCell ref="N43:N44"/>
    <mergeCell ref="O43:O44"/>
    <mergeCell ref="H44:I44"/>
    <mergeCell ref="B2:V2"/>
    <mergeCell ref="B3:G5"/>
    <mergeCell ref="H3:I3"/>
    <mergeCell ref="J3:K3"/>
    <mergeCell ref="M3:N3"/>
    <mergeCell ref="O3:P3"/>
    <mergeCell ref="Q3:U5"/>
    <mergeCell ref="H4:I4"/>
    <mergeCell ref="J4:K4"/>
    <mergeCell ref="M4:N4"/>
    <mergeCell ref="O4:P5"/>
    <mergeCell ref="H5:I5"/>
    <mergeCell ref="J5:K5"/>
    <mergeCell ref="M5:N5"/>
    <mergeCell ref="C13:F13"/>
    <mergeCell ref="C19:I19"/>
    <mergeCell ref="C16:F16"/>
    <mergeCell ref="B6:B10"/>
    <mergeCell ref="C6:I6"/>
    <mergeCell ref="C7:I7"/>
    <mergeCell ref="C8:I8"/>
    <mergeCell ref="N34:N35"/>
    <mergeCell ref="O34:O35"/>
    <mergeCell ref="H35:I35"/>
    <mergeCell ref="C18:I18"/>
    <mergeCell ref="C34:G35"/>
    <mergeCell ref="H34:I34"/>
    <mergeCell ref="J34:J35"/>
    <mergeCell ref="L34:L35"/>
    <mergeCell ref="M34:M35"/>
    <mergeCell ref="C25:I25"/>
    <mergeCell ref="C32:I32"/>
    <mergeCell ref="C33:I33"/>
    <mergeCell ref="C27:I27"/>
    <mergeCell ref="C26:I26"/>
    <mergeCell ref="C28:I28"/>
    <mergeCell ref="C29:I29"/>
    <mergeCell ref="C30:I30"/>
    <mergeCell ref="C31:I31"/>
    <mergeCell ref="C46:I46"/>
    <mergeCell ref="C47:I47"/>
    <mergeCell ref="C48:G48"/>
    <mergeCell ref="H48:I48"/>
    <mergeCell ref="C49:I49"/>
    <mergeCell ref="C50:I50"/>
    <mergeCell ref="M43:M44"/>
    <mergeCell ref="C39:I39"/>
    <mergeCell ref="C36:I36"/>
    <mergeCell ref="C37:I37"/>
    <mergeCell ref="C38:I38"/>
    <mergeCell ref="C40:I40"/>
    <mergeCell ref="C41:I41"/>
    <mergeCell ref="C45:G45"/>
    <mergeCell ref="H45:I45"/>
    <mergeCell ref="J43:J44"/>
    <mergeCell ref="L43:L44"/>
    <mergeCell ref="C42:I42"/>
    <mergeCell ref="C43:G44"/>
    <mergeCell ref="H43:I43"/>
    <mergeCell ref="C56:G56"/>
    <mergeCell ref="H56:I56"/>
    <mergeCell ref="C57:I57"/>
    <mergeCell ref="C51:I51"/>
    <mergeCell ref="C52:I52"/>
    <mergeCell ref="C53:G53"/>
    <mergeCell ref="H53:I53"/>
    <mergeCell ref="C54:G54"/>
    <mergeCell ref="H54:I54"/>
    <mergeCell ref="C55:G55"/>
    <mergeCell ref="H55:I55"/>
    <mergeCell ref="C65:I65"/>
    <mergeCell ref="C66:I66"/>
    <mergeCell ref="C68:I68"/>
    <mergeCell ref="C69:I69"/>
    <mergeCell ref="C67:I67"/>
    <mergeCell ref="C80:I80"/>
    <mergeCell ref="O58:O59"/>
    <mergeCell ref="C59:I59"/>
    <mergeCell ref="C60:I60"/>
    <mergeCell ref="C61:I61"/>
    <mergeCell ref="C62:I62"/>
    <mergeCell ref="C63:I63"/>
    <mergeCell ref="C58:I58"/>
    <mergeCell ref="J58:J59"/>
    <mergeCell ref="K58:K59"/>
    <mergeCell ref="L58:L59"/>
    <mergeCell ref="M58:M59"/>
    <mergeCell ref="N58:N59"/>
    <mergeCell ref="C79:I79"/>
    <mergeCell ref="C78:I78"/>
    <mergeCell ref="C64:I64"/>
    <mergeCell ref="C77:I77"/>
    <mergeCell ref="C76:I76"/>
    <mergeCell ref="C75:I75"/>
    <mergeCell ref="T86:U86"/>
    <mergeCell ref="C87:F87"/>
    <mergeCell ref="G87:H87"/>
    <mergeCell ref="J87:K87"/>
    <mergeCell ref="L87:M87"/>
    <mergeCell ref="C81:I81"/>
    <mergeCell ref="C82:I82"/>
    <mergeCell ref="C83:I83"/>
    <mergeCell ref="C84:I84"/>
    <mergeCell ref="C85:I85"/>
    <mergeCell ref="C86:Q86"/>
    <mergeCell ref="N87:V87"/>
    <mergeCell ref="N90:V90"/>
    <mergeCell ref="N91:V91"/>
    <mergeCell ref="N92:V92"/>
    <mergeCell ref="C89:F89"/>
    <mergeCell ref="G89:I89"/>
    <mergeCell ref="J89:K89"/>
    <mergeCell ref="L89:M89"/>
    <mergeCell ref="C88:F88"/>
    <mergeCell ref="G88:H88"/>
    <mergeCell ref="J88:K88"/>
    <mergeCell ref="L88:M88"/>
    <mergeCell ref="N88:V88"/>
    <mergeCell ref="N89:V89"/>
    <mergeCell ref="L90:M90"/>
    <mergeCell ref="C91:F91"/>
    <mergeCell ref="G91:H91"/>
    <mergeCell ref="J91:K91"/>
    <mergeCell ref="L91:M91"/>
    <mergeCell ref="C92:F92"/>
    <mergeCell ref="G92:H92"/>
    <mergeCell ref="J92:K92"/>
    <mergeCell ref="L92:M92"/>
    <mergeCell ref="N93:V93"/>
    <mergeCell ref="N94:V94"/>
    <mergeCell ref="N95:V95"/>
    <mergeCell ref="C74:I74"/>
    <mergeCell ref="C73:I73"/>
    <mergeCell ref="C72:I72"/>
    <mergeCell ref="C71:I71"/>
    <mergeCell ref="C70:I70"/>
    <mergeCell ref="B97:V97"/>
    <mergeCell ref="C95:F95"/>
    <mergeCell ref="G95:H95"/>
    <mergeCell ref="J95:K95"/>
    <mergeCell ref="L95:M95"/>
    <mergeCell ref="C94:F94"/>
    <mergeCell ref="J94:K94"/>
    <mergeCell ref="L94:M94"/>
    <mergeCell ref="C93:F93"/>
    <mergeCell ref="G93:H94"/>
    <mergeCell ref="I93:I94"/>
    <mergeCell ref="J93:K93"/>
    <mergeCell ref="L93:M93"/>
    <mergeCell ref="C90:F90"/>
    <mergeCell ref="G90:H90"/>
    <mergeCell ref="J90:K90"/>
  </mergeCells>
  <printOptions horizontalCentered="1"/>
  <pageMargins left="0.23622047244094491" right="0.23622047244094491" top="0.74803149606299213" bottom="0.74803149606299213" header="0.31496062992125984" footer="0.31496062992125984"/>
  <pageSetup scale="53" fitToHeight="0" orientation="portrait" horizontalDpi="360" verticalDpi="360" r:id="rId1"/>
  <rowBreaks count="1" manualBreakCount="1">
    <brk id="47" min="1" max="21" man="1"/>
  </rowBreaks>
  <drawing r:id="rId2"/>
  <legacyDrawing r:id="rId3"/>
  <oleObjects>
    <mc:AlternateContent xmlns:mc="http://schemas.openxmlformats.org/markup-compatibility/2006">
      <mc:Choice Requires="x14">
        <oleObject progId="MS_ClipArt_Gallery" shapeId="1025" r:id="rId4">
          <objectPr defaultSize="0" autoPict="0" r:id="rId5">
            <anchor moveWithCells="1" sizeWithCells="1">
              <from>
                <xdr:col>1</xdr:col>
                <xdr:colOff>647700</xdr:colOff>
                <xdr:row>42</xdr:row>
                <xdr:rowOff>38100</xdr:rowOff>
              </from>
              <to>
                <xdr:col>1</xdr:col>
                <xdr:colOff>739140</xdr:colOff>
                <xdr:row>43</xdr:row>
                <xdr:rowOff>30480</xdr:rowOff>
              </to>
            </anchor>
          </objectPr>
        </oleObject>
      </mc:Choice>
      <mc:Fallback>
        <oleObject progId="MS_ClipArt_Gallery" shapeId="1025" r:id="rId4"/>
      </mc:Fallback>
    </mc:AlternateContent>
    <mc:AlternateContent xmlns:mc="http://schemas.openxmlformats.org/markup-compatibility/2006">
      <mc:Choice Requires="x14">
        <oleObject progId="MS_ClipArt_Gallery" shapeId="1028" r:id="rId6">
          <objectPr defaultSize="0" autoPict="0" r:id="rId5">
            <anchor moveWithCells="1" sizeWithCells="1">
              <from>
                <xdr:col>1</xdr:col>
                <xdr:colOff>647700</xdr:colOff>
                <xdr:row>33</xdr:row>
                <xdr:rowOff>76200</xdr:rowOff>
              </from>
              <to>
                <xdr:col>1</xdr:col>
                <xdr:colOff>739140</xdr:colOff>
                <xdr:row>34</xdr:row>
                <xdr:rowOff>68580</xdr:rowOff>
              </to>
            </anchor>
          </objectPr>
        </oleObject>
      </mc:Choice>
      <mc:Fallback>
        <oleObject progId="MS_ClipArt_Gallery" shapeId="1028" r:id="rId6"/>
      </mc:Fallback>
    </mc:AlternateContent>
  </oleObjec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11"/>
  <sheetViews>
    <sheetView view="pageBreakPreview" topLeftCell="A58" zoomScale="70" zoomScaleSheetLayoutView="70" workbookViewId="0">
      <selection activeCell="F94" sqref="F94:G94"/>
    </sheetView>
  </sheetViews>
  <sheetFormatPr defaultColWidth="12.21875" defaultRowHeight="13.2" x14ac:dyDescent="0.25"/>
  <cols>
    <col min="1" max="1" width="1.21875" style="124" customWidth="1"/>
    <col min="2" max="2" width="10.44140625" style="124" customWidth="1"/>
    <col min="3" max="4" width="12.21875" style="124" customWidth="1"/>
    <col min="5" max="5" width="12.44140625" style="124" customWidth="1"/>
    <col min="6" max="6" width="11.44140625" style="124" customWidth="1"/>
    <col min="7" max="7" width="9.5546875" style="124" customWidth="1"/>
    <col min="8" max="8" width="28.21875" style="124" bestFit="1" customWidth="1"/>
    <col min="9" max="9" width="9.21875" style="124" bestFit="1" customWidth="1"/>
    <col min="10" max="10" width="2.5546875" style="135" customWidth="1"/>
    <col min="11" max="11" width="10.21875" style="135" customWidth="1"/>
    <col min="12" max="12" width="9" style="135" customWidth="1"/>
    <col min="13" max="13" width="5.44140625" style="135" customWidth="1"/>
    <col min="14" max="14" width="9.21875" style="135" bestFit="1" customWidth="1"/>
    <col min="15" max="15" width="16.5546875" style="135" customWidth="1"/>
    <col min="16" max="16" width="2.44140625" style="135" customWidth="1"/>
    <col min="17" max="17" width="8" style="135" customWidth="1"/>
    <col min="18" max="24" width="9.21875" style="124" customWidth="1"/>
    <col min="25" max="25" width="3.44140625" style="124" customWidth="1"/>
    <col min="26" max="256" width="9.21875" style="124" customWidth="1"/>
    <col min="257" max="257" width="1.21875" style="124" customWidth="1"/>
    <col min="258" max="258" width="12.21875" style="124"/>
    <col min="259" max="259" width="1.21875" style="124" customWidth="1"/>
    <col min="260" max="260" width="12.21875" style="124" customWidth="1"/>
    <col min="261" max="261" width="37.44140625" style="124" customWidth="1"/>
    <col min="262" max="264" width="13.5546875" style="124" customWidth="1"/>
    <col min="265" max="265" width="14.77734375" style="124" customWidth="1"/>
    <col min="266" max="266" width="1.44140625" style="124" customWidth="1"/>
    <col min="267" max="267" width="7.44140625" style="124" customWidth="1"/>
    <col min="268" max="268" width="9" style="124" customWidth="1"/>
    <col min="269" max="269" width="5.44140625" style="124" customWidth="1"/>
    <col min="270" max="270" width="9.21875" style="124" bestFit="1" customWidth="1"/>
    <col min="271" max="271" width="16.5546875" style="124" customWidth="1"/>
    <col min="272" max="272" width="2.44140625" style="124" customWidth="1"/>
    <col min="273" max="273" width="8" style="124" customWidth="1"/>
    <col min="274" max="280" width="9.21875" style="124" customWidth="1"/>
    <col min="281" max="281" width="3.44140625" style="124" customWidth="1"/>
    <col min="282" max="512" width="9.21875" style="124" customWidth="1"/>
    <col min="513" max="513" width="1.21875" style="124" customWidth="1"/>
    <col min="514" max="514" width="12.21875" style="124"/>
    <col min="515" max="515" width="1.21875" style="124" customWidth="1"/>
    <col min="516" max="516" width="12.21875" style="124" customWidth="1"/>
    <col min="517" max="517" width="37.44140625" style="124" customWidth="1"/>
    <col min="518" max="520" width="13.5546875" style="124" customWidth="1"/>
    <col min="521" max="521" width="14.77734375" style="124" customWidth="1"/>
    <col min="522" max="522" width="1.44140625" style="124" customWidth="1"/>
    <col min="523" max="523" width="7.44140625" style="124" customWidth="1"/>
    <col min="524" max="524" width="9" style="124" customWidth="1"/>
    <col min="525" max="525" width="5.44140625" style="124" customWidth="1"/>
    <col min="526" max="526" width="9.21875" style="124" bestFit="1" customWidth="1"/>
    <col min="527" max="527" width="16.5546875" style="124" customWidth="1"/>
    <col min="528" max="528" width="2.44140625" style="124" customWidth="1"/>
    <col min="529" max="529" width="8" style="124" customWidth="1"/>
    <col min="530" max="536" width="9.21875" style="124" customWidth="1"/>
    <col min="537" max="537" width="3.44140625" style="124" customWidth="1"/>
    <col min="538" max="768" width="9.21875" style="124" customWidth="1"/>
    <col min="769" max="769" width="1.21875" style="124" customWidth="1"/>
    <col min="770" max="770" width="12.21875" style="124"/>
    <col min="771" max="771" width="1.21875" style="124" customWidth="1"/>
    <col min="772" max="772" width="12.21875" style="124" customWidth="1"/>
    <col min="773" max="773" width="37.44140625" style="124" customWidth="1"/>
    <col min="774" max="776" width="13.5546875" style="124" customWidth="1"/>
    <col min="777" max="777" width="14.77734375" style="124" customWidth="1"/>
    <col min="778" max="778" width="1.44140625" style="124" customWidth="1"/>
    <col min="779" max="779" width="7.44140625" style="124" customWidth="1"/>
    <col min="780" max="780" width="9" style="124" customWidth="1"/>
    <col min="781" max="781" width="5.44140625" style="124" customWidth="1"/>
    <col min="782" max="782" width="9.21875" style="124" bestFit="1" customWidth="1"/>
    <col min="783" max="783" width="16.5546875" style="124" customWidth="1"/>
    <col min="784" max="784" width="2.44140625" style="124" customWidth="1"/>
    <col min="785" max="785" width="8" style="124" customWidth="1"/>
    <col min="786" max="792" width="9.21875" style="124" customWidth="1"/>
    <col min="793" max="793" width="3.44140625" style="124" customWidth="1"/>
    <col min="794" max="1024" width="9.21875" style="124" customWidth="1"/>
    <col min="1025" max="1025" width="1.21875" style="124" customWidth="1"/>
    <col min="1026" max="1026" width="12.21875" style="124"/>
    <col min="1027" max="1027" width="1.21875" style="124" customWidth="1"/>
    <col min="1028" max="1028" width="12.21875" style="124" customWidth="1"/>
    <col min="1029" max="1029" width="37.44140625" style="124" customWidth="1"/>
    <col min="1030" max="1032" width="13.5546875" style="124" customWidth="1"/>
    <col min="1033" max="1033" width="14.77734375" style="124" customWidth="1"/>
    <col min="1034" max="1034" width="1.44140625" style="124" customWidth="1"/>
    <col min="1035" max="1035" width="7.44140625" style="124" customWidth="1"/>
    <col min="1036" max="1036" width="9" style="124" customWidth="1"/>
    <col min="1037" max="1037" width="5.44140625" style="124" customWidth="1"/>
    <col min="1038" max="1038" width="9.21875" style="124" bestFit="1" customWidth="1"/>
    <col min="1039" max="1039" width="16.5546875" style="124" customWidth="1"/>
    <col min="1040" max="1040" width="2.44140625" style="124" customWidth="1"/>
    <col min="1041" max="1041" width="8" style="124" customWidth="1"/>
    <col min="1042" max="1048" width="9.21875" style="124" customWidth="1"/>
    <col min="1049" max="1049" width="3.44140625" style="124" customWidth="1"/>
    <col min="1050" max="1280" width="9.21875" style="124" customWidth="1"/>
    <col min="1281" max="1281" width="1.21875" style="124" customWidth="1"/>
    <col min="1282" max="1282" width="12.21875" style="124"/>
    <col min="1283" max="1283" width="1.21875" style="124" customWidth="1"/>
    <col min="1284" max="1284" width="12.21875" style="124" customWidth="1"/>
    <col min="1285" max="1285" width="37.44140625" style="124" customWidth="1"/>
    <col min="1286" max="1288" width="13.5546875" style="124" customWidth="1"/>
    <col min="1289" max="1289" width="14.77734375" style="124" customWidth="1"/>
    <col min="1290" max="1290" width="1.44140625" style="124" customWidth="1"/>
    <col min="1291" max="1291" width="7.44140625" style="124" customWidth="1"/>
    <col min="1292" max="1292" width="9" style="124" customWidth="1"/>
    <col min="1293" max="1293" width="5.44140625" style="124" customWidth="1"/>
    <col min="1294" max="1294" width="9.21875" style="124" bestFit="1" customWidth="1"/>
    <col min="1295" max="1295" width="16.5546875" style="124" customWidth="1"/>
    <col min="1296" max="1296" width="2.44140625" style="124" customWidth="1"/>
    <col min="1297" max="1297" width="8" style="124" customWidth="1"/>
    <col min="1298" max="1304" width="9.21875" style="124" customWidth="1"/>
    <col min="1305" max="1305" width="3.44140625" style="124" customWidth="1"/>
    <col min="1306" max="1536" width="9.21875" style="124" customWidth="1"/>
    <col min="1537" max="1537" width="1.21875" style="124" customWidth="1"/>
    <col min="1538" max="1538" width="12.21875" style="124"/>
    <col min="1539" max="1539" width="1.21875" style="124" customWidth="1"/>
    <col min="1540" max="1540" width="12.21875" style="124" customWidth="1"/>
    <col min="1541" max="1541" width="37.44140625" style="124" customWidth="1"/>
    <col min="1542" max="1544" width="13.5546875" style="124" customWidth="1"/>
    <col min="1545" max="1545" width="14.77734375" style="124" customWidth="1"/>
    <col min="1546" max="1546" width="1.44140625" style="124" customWidth="1"/>
    <col min="1547" max="1547" width="7.44140625" style="124" customWidth="1"/>
    <col min="1548" max="1548" width="9" style="124" customWidth="1"/>
    <col min="1549" max="1549" width="5.44140625" style="124" customWidth="1"/>
    <col min="1550" max="1550" width="9.21875" style="124" bestFit="1" customWidth="1"/>
    <col min="1551" max="1551" width="16.5546875" style="124" customWidth="1"/>
    <col min="1552" max="1552" width="2.44140625" style="124" customWidth="1"/>
    <col min="1553" max="1553" width="8" style="124" customWidth="1"/>
    <col min="1554" max="1560" width="9.21875" style="124" customWidth="1"/>
    <col min="1561" max="1561" width="3.44140625" style="124" customWidth="1"/>
    <col min="1562" max="1792" width="9.21875" style="124" customWidth="1"/>
    <col min="1793" max="1793" width="1.21875" style="124" customWidth="1"/>
    <col min="1794" max="1794" width="12.21875" style="124"/>
    <col min="1795" max="1795" width="1.21875" style="124" customWidth="1"/>
    <col min="1796" max="1796" width="12.21875" style="124" customWidth="1"/>
    <col min="1797" max="1797" width="37.44140625" style="124" customWidth="1"/>
    <col min="1798" max="1800" width="13.5546875" style="124" customWidth="1"/>
    <col min="1801" max="1801" width="14.77734375" style="124" customWidth="1"/>
    <col min="1802" max="1802" width="1.44140625" style="124" customWidth="1"/>
    <col min="1803" max="1803" width="7.44140625" style="124" customWidth="1"/>
    <col min="1804" max="1804" width="9" style="124" customWidth="1"/>
    <col min="1805" max="1805" width="5.44140625" style="124" customWidth="1"/>
    <col min="1806" max="1806" width="9.21875" style="124" bestFit="1" customWidth="1"/>
    <col min="1807" max="1807" width="16.5546875" style="124" customWidth="1"/>
    <col min="1808" max="1808" width="2.44140625" style="124" customWidth="1"/>
    <col min="1809" max="1809" width="8" style="124" customWidth="1"/>
    <col min="1810" max="1816" width="9.21875" style="124" customWidth="1"/>
    <col min="1817" max="1817" width="3.44140625" style="124" customWidth="1"/>
    <col min="1818" max="2048" width="9.21875" style="124" customWidth="1"/>
    <col min="2049" max="2049" width="1.21875" style="124" customWidth="1"/>
    <col min="2050" max="2050" width="12.21875" style="124"/>
    <col min="2051" max="2051" width="1.21875" style="124" customWidth="1"/>
    <col min="2052" max="2052" width="12.21875" style="124" customWidth="1"/>
    <col min="2053" max="2053" width="37.44140625" style="124" customWidth="1"/>
    <col min="2054" max="2056" width="13.5546875" style="124" customWidth="1"/>
    <col min="2057" max="2057" width="14.77734375" style="124" customWidth="1"/>
    <col min="2058" max="2058" width="1.44140625" style="124" customWidth="1"/>
    <col min="2059" max="2059" width="7.44140625" style="124" customWidth="1"/>
    <col min="2060" max="2060" width="9" style="124" customWidth="1"/>
    <col min="2061" max="2061" width="5.44140625" style="124" customWidth="1"/>
    <col min="2062" max="2062" width="9.21875" style="124" bestFit="1" customWidth="1"/>
    <col min="2063" max="2063" width="16.5546875" style="124" customWidth="1"/>
    <col min="2064" max="2064" width="2.44140625" style="124" customWidth="1"/>
    <col min="2065" max="2065" width="8" style="124" customWidth="1"/>
    <col min="2066" max="2072" width="9.21875" style="124" customWidth="1"/>
    <col min="2073" max="2073" width="3.44140625" style="124" customWidth="1"/>
    <col min="2074" max="2304" width="9.21875" style="124" customWidth="1"/>
    <col min="2305" max="2305" width="1.21875" style="124" customWidth="1"/>
    <col min="2306" max="2306" width="12.21875" style="124"/>
    <col min="2307" max="2307" width="1.21875" style="124" customWidth="1"/>
    <col min="2308" max="2308" width="12.21875" style="124" customWidth="1"/>
    <col min="2309" max="2309" width="37.44140625" style="124" customWidth="1"/>
    <col min="2310" max="2312" width="13.5546875" style="124" customWidth="1"/>
    <col min="2313" max="2313" width="14.77734375" style="124" customWidth="1"/>
    <col min="2314" max="2314" width="1.44140625" style="124" customWidth="1"/>
    <col min="2315" max="2315" width="7.44140625" style="124" customWidth="1"/>
    <col min="2316" max="2316" width="9" style="124" customWidth="1"/>
    <col min="2317" max="2317" width="5.44140625" style="124" customWidth="1"/>
    <col min="2318" max="2318" width="9.21875" style="124" bestFit="1" customWidth="1"/>
    <col min="2319" max="2319" width="16.5546875" style="124" customWidth="1"/>
    <col min="2320" max="2320" width="2.44140625" style="124" customWidth="1"/>
    <col min="2321" max="2321" width="8" style="124" customWidth="1"/>
    <col min="2322" max="2328" width="9.21875" style="124" customWidth="1"/>
    <col min="2329" max="2329" width="3.44140625" style="124" customWidth="1"/>
    <col min="2330" max="2560" width="9.21875" style="124" customWidth="1"/>
    <col min="2561" max="2561" width="1.21875" style="124" customWidth="1"/>
    <col min="2562" max="2562" width="12.21875" style="124"/>
    <col min="2563" max="2563" width="1.21875" style="124" customWidth="1"/>
    <col min="2564" max="2564" width="12.21875" style="124" customWidth="1"/>
    <col min="2565" max="2565" width="37.44140625" style="124" customWidth="1"/>
    <col min="2566" max="2568" width="13.5546875" style="124" customWidth="1"/>
    <col min="2569" max="2569" width="14.77734375" style="124" customWidth="1"/>
    <col min="2570" max="2570" width="1.44140625" style="124" customWidth="1"/>
    <col min="2571" max="2571" width="7.44140625" style="124" customWidth="1"/>
    <col min="2572" max="2572" width="9" style="124" customWidth="1"/>
    <col min="2573" max="2573" width="5.44140625" style="124" customWidth="1"/>
    <col min="2574" max="2574" width="9.21875" style="124" bestFit="1" customWidth="1"/>
    <col min="2575" max="2575" width="16.5546875" style="124" customWidth="1"/>
    <col min="2576" max="2576" width="2.44140625" style="124" customWidth="1"/>
    <col min="2577" max="2577" width="8" style="124" customWidth="1"/>
    <col min="2578" max="2584" width="9.21875" style="124" customWidth="1"/>
    <col min="2585" max="2585" width="3.44140625" style="124" customWidth="1"/>
    <col min="2586" max="2816" width="9.21875" style="124" customWidth="1"/>
    <col min="2817" max="2817" width="1.21875" style="124" customWidth="1"/>
    <col min="2818" max="2818" width="12.21875" style="124"/>
    <col min="2819" max="2819" width="1.21875" style="124" customWidth="1"/>
    <col min="2820" max="2820" width="12.21875" style="124" customWidth="1"/>
    <col min="2821" max="2821" width="37.44140625" style="124" customWidth="1"/>
    <col min="2822" max="2824" width="13.5546875" style="124" customWidth="1"/>
    <col min="2825" max="2825" width="14.77734375" style="124" customWidth="1"/>
    <col min="2826" max="2826" width="1.44140625" style="124" customWidth="1"/>
    <col min="2827" max="2827" width="7.44140625" style="124" customWidth="1"/>
    <col min="2828" max="2828" width="9" style="124" customWidth="1"/>
    <col min="2829" max="2829" width="5.44140625" style="124" customWidth="1"/>
    <col min="2830" max="2830" width="9.21875" style="124" bestFit="1" customWidth="1"/>
    <col min="2831" max="2831" width="16.5546875" style="124" customWidth="1"/>
    <col min="2832" max="2832" width="2.44140625" style="124" customWidth="1"/>
    <col min="2833" max="2833" width="8" style="124" customWidth="1"/>
    <col min="2834" max="2840" width="9.21875" style="124" customWidth="1"/>
    <col min="2841" max="2841" width="3.44140625" style="124" customWidth="1"/>
    <col min="2842" max="3072" width="9.21875" style="124" customWidth="1"/>
    <col min="3073" max="3073" width="1.21875" style="124" customWidth="1"/>
    <col min="3074" max="3074" width="12.21875" style="124"/>
    <col min="3075" max="3075" width="1.21875" style="124" customWidth="1"/>
    <col min="3076" max="3076" width="12.21875" style="124" customWidth="1"/>
    <col min="3077" max="3077" width="37.44140625" style="124" customWidth="1"/>
    <col min="3078" max="3080" width="13.5546875" style="124" customWidth="1"/>
    <col min="3081" max="3081" width="14.77734375" style="124" customWidth="1"/>
    <col min="3082" max="3082" width="1.44140625" style="124" customWidth="1"/>
    <col min="3083" max="3083" width="7.44140625" style="124" customWidth="1"/>
    <col min="3084" max="3084" width="9" style="124" customWidth="1"/>
    <col min="3085" max="3085" width="5.44140625" style="124" customWidth="1"/>
    <col min="3086" max="3086" width="9.21875" style="124" bestFit="1" customWidth="1"/>
    <col min="3087" max="3087" width="16.5546875" style="124" customWidth="1"/>
    <col min="3088" max="3088" width="2.44140625" style="124" customWidth="1"/>
    <col min="3089" max="3089" width="8" style="124" customWidth="1"/>
    <col min="3090" max="3096" width="9.21875" style="124" customWidth="1"/>
    <col min="3097" max="3097" width="3.44140625" style="124" customWidth="1"/>
    <col min="3098" max="3328" width="9.21875" style="124" customWidth="1"/>
    <col min="3329" max="3329" width="1.21875" style="124" customWidth="1"/>
    <col min="3330" max="3330" width="12.21875" style="124"/>
    <col min="3331" max="3331" width="1.21875" style="124" customWidth="1"/>
    <col min="3332" max="3332" width="12.21875" style="124" customWidth="1"/>
    <col min="3333" max="3333" width="37.44140625" style="124" customWidth="1"/>
    <col min="3334" max="3336" width="13.5546875" style="124" customWidth="1"/>
    <col min="3337" max="3337" width="14.77734375" style="124" customWidth="1"/>
    <col min="3338" max="3338" width="1.44140625" style="124" customWidth="1"/>
    <col min="3339" max="3339" width="7.44140625" style="124" customWidth="1"/>
    <col min="3340" max="3340" width="9" style="124" customWidth="1"/>
    <col min="3341" max="3341" width="5.44140625" style="124" customWidth="1"/>
    <col min="3342" max="3342" width="9.21875" style="124" bestFit="1" customWidth="1"/>
    <col min="3343" max="3343" width="16.5546875" style="124" customWidth="1"/>
    <col min="3344" max="3344" width="2.44140625" style="124" customWidth="1"/>
    <col min="3345" max="3345" width="8" style="124" customWidth="1"/>
    <col min="3346" max="3352" width="9.21875" style="124" customWidth="1"/>
    <col min="3353" max="3353" width="3.44140625" style="124" customWidth="1"/>
    <col min="3354" max="3584" width="9.21875" style="124" customWidth="1"/>
    <col min="3585" max="3585" width="1.21875" style="124" customWidth="1"/>
    <col min="3586" max="3586" width="12.21875" style="124"/>
    <col min="3587" max="3587" width="1.21875" style="124" customWidth="1"/>
    <col min="3588" max="3588" width="12.21875" style="124" customWidth="1"/>
    <col min="3589" max="3589" width="37.44140625" style="124" customWidth="1"/>
    <col min="3590" max="3592" width="13.5546875" style="124" customWidth="1"/>
    <col min="3593" max="3593" width="14.77734375" style="124" customWidth="1"/>
    <col min="3594" max="3594" width="1.44140625" style="124" customWidth="1"/>
    <col min="3595" max="3595" width="7.44140625" style="124" customWidth="1"/>
    <col min="3596" max="3596" width="9" style="124" customWidth="1"/>
    <col min="3597" max="3597" width="5.44140625" style="124" customWidth="1"/>
    <col min="3598" max="3598" width="9.21875" style="124" bestFit="1" customWidth="1"/>
    <col min="3599" max="3599" width="16.5546875" style="124" customWidth="1"/>
    <col min="3600" max="3600" width="2.44140625" style="124" customWidth="1"/>
    <col min="3601" max="3601" width="8" style="124" customWidth="1"/>
    <col min="3602" max="3608" width="9.21875" style="124" customWidth="1"/>
    <col min="3609" max="3609" width="3.44140625" style="124" customWidth="1"/>
    <col min="3610" max="3840" width="9.21875" style="124" customWidth="1"/>
    <col min="3841" max="3841" width="1.21875" style="124" customWidth="1"/>
    <col min="3842" max="3842" width="12.21875" style="124"/>
    <col min="3843" max="3843" width="1.21875" style="124" customWidth="1"/>
    <col min="3844" max="3844" width="12.21875" style="124" customWidth="1"/>
    <col min="3845" max="3845" width="37.44140625" style="124" customWidth="1"/>
    <col min="3846" max="3848" width="13.5546875" style="124" customWidth="1"/>
    <col min="3849" max="3849" width="14.77734375" style="124" customWidth="1"/>
    <col min="3850" max="3850" width="1.44140625" style="124" customWidth="1"/>
    <col min="3851" max="3851" width="7.44140625" style="124" customWidth="1"/>
    <col min="3852" max="3852" width="9" style="124" customWidth="1"/>
    <col min="3853" max="3853" width="5.44140625" style="124" customWidth="1"/>
    <col min="3854" max="3854" width="9.21875" style="124" bestFit="1" customWidth="1"/>
    <col min="3855" max="3855" width="16.5546875" style="124" customWidth="1"/>
    <col min="3856" max="3856" width="2.44140625" style="124" customWidth="1"/>
    <col min="3857" max="3857" width="8" style="124" customWidth="1"/>
    <col min="3858" max="3864" width="9.21875" style="124" customWidth="1"/>
    <col min="3865" max="3865" width="3.44140625" style="124" customWidth="1"/>
    <col min="3866" max="4096" width="9.21875" style="124" customWidth="1"/>
    <col min="4097" max="4097" width="1.21875" style="124" customWidth="1"/>
    <col min="4098" max="4098" width="12.21875" style="124"/>
    <col min="4099" max="4099" width="1.21875" style="124" customWidth="1"/>
    <col min="4100" max="4100" width="12.21875" style="124" customWidth="1"/>
    <col min="4101" max="4101" width="37.44140625" style="124" customWidth="1"/>
    <col min="4102" max="4104" width="13.5546875" style="124" customWidth="1"/>
    <col min="4105" max="4105" width="14.77734375" style="124" customWidth="1"/>
    <col min="4106" max="4106" width="1.44140625" style="124" customWidth="1"/>
    <col min="4107" max="4107" width="7.44140625" style="124" customWidth="1"/>
    <col min="4108" max="4108" width="9" style="124" customWidth="1"/>
    <col min="4109" max="4109" width="5.44140625" style="124" customWidth="1"/>
    <col min="4110" max="4110" width="9.21875" style="124" bestFit="1" customWidth="1"/>
    <col min="4111" max="4111" width="16.5546875" style="124" customWidth="1"/>
    <col min="4112" max="4112" width="2.44140625" style="124" customWidth="1"/>
    <col min="4113" max="4113" width="8" style="124" customWidth="1"/>
    <col min="4114" max="4120" width="9.21875" style="124" customWidth="1"/>
    <col min="4121" max="4121" width="3.44140625" style="124" customWidth="1"/>
    <col min="4122" max="4352" width="9.21875" style="124" customWidth="1"/>
    <col min="4353" max="4353" width="1.21875" style="124" customWidth="1"/>
    <col min="4354" max="4354" width="12.21875" style="124"/>
    <col min="4355" max="4355" width="1.21875" style="124" customWidth="1"/>
    <col min="4356" max="4356" width="12.21875" style="124" customWidth="1"/>
    <col min="4357" max="4357" width="37.44140625" style="124" customWidth="1"/>
    <col min="4358" max="4360" width="13.5546875" style="124" customWidth="1"/>
    <col min="4361" max="4361" width="14.77734375" style="124" customWidth="1"/>
    <col min="4362" max="4362" width="1.44140625" style="124" customWidth="1"/>
    <col min="4363" max="4363" width="7.44140625" style="124" customWidth="1"/>
    <col min="4364" max="4364" width="9" style="124" customWidth="1"/>
    <col min="4365" max="4365" width="5.44140625" style="124" customWidth="1"/>
    <col min="4366" max="4366" width="9.21875" style="124" bestFit="1" customWidth="1"/>
    <col min="4367" max="4367" width="16.5546875" style="124" customWidth="1"/>
    <col min="4368" max="4368" width="2.44140625" style="124" customWidth="1"/>
    <col min="4369" max="4369" width="8" style="124" customWidth="1"/>
    <col min="4370" max="4376" width="9.21875" style="124" customWidth="1"/>
    <col min="4377" max="4377" width="3.44140625" style="124" customWidth="1"/>
    <col min="4378" max="4608" width="9.21875" style="124" customWidth="1"/>
    <col min="4609" max="4609" width="1.21875" style="124" customWidth="1"/>
    <col min="4610" max="4610" width="12.21875" style="124"/>
    <col min="4611" max="4611" width="1.21875" style="124" customWidth="1"/>
    <col min="4612" max="4612" width="12.21875" style="124" customWidth="1"/>
    <col min="4613" max="4613" width="37.44140625" style="124" customWidth="1"/>
    <col min="4614" max="4616" width="13.5546875" style="124" customWidth="1"/>
    <col min="4617" max="4617" width="14.77734375" style="124" customWidth="1"/>
    <col min="4618" max="4618" width="1.44140625" style="124" customWidth="1"/>
    <col min="4619" max="4619" width="7.44140625" style="124" customWidth="1"/>
    <col min="4620" max="4620" width="9" style="124" customWidth="1"/>
    <col min="4621" max="4621" width="5.44140625" style="124" customWidth="1"/>
    <col min="4622" max="4622" width="9.21875" style="124" bestFit="1" customWidth="1"/>
    <col min="4623" max="4623" width="16.5546875" style="124" customWidth="1"/>
    <col min="4624" max="4624" width="2.44140625" style="124" customWidth="1"/>
    <col min="4625" max="4625" width="8" style="124" customWidth="1"/>
    <col min="4626" max="4632" width="9.21875" style="124" customWidth="1"/>
    <col min="4633" max="4633" width="3.44140625" style="124" customWidth="1"/>
    <col min="4634" max="4864" width="9.21875" style="124" customWidth="1"/>
    <col min="4865" max="4865" width="1.21875" style="124" customWidth="1"/>
    <col min="4866" max="4866" width="12.21875" style="124"/>
    <col min="4867" max="4867" width="1.21875" style="124" customWidth="1"/>
    <col min="4868" max="4868" width="12.21875" style="124" customWidth="1"/>
    <col min="4869" max="4869" width="37.44140625" style="124" customWidth="1"/>
    <col min="4870" max="4872" width="13.5546875" style="124" customWidth="1"/>
    <col min="4873" max="4873" width="14.77734375" style="124" customWidth="1"/>
    <col min="4874" max="4874" width="1.44140625" style="124" customWidth="1"/>
    <col min="4875" max="4875" width="7.44140625" style="124" customWidth="1"/>
    <col min="4876" max="4876" width="9" style="124" customWidth="1"/>
    <col min="4877" max="4877" width="5.44140625" style="124" customWidth="1"/>
    <col min="4878" max="4878" width="9.21875" style="124" bestFit="1" customWidth="1"/>
    <col min="4879" max="4879" width="16.5546875" style="124" customWidth="1"/>
    <col min="4880" max="4880" width="2.44140625" style="124" customWidth="1"/>
    <col min="4881" max="4881" width="8" style="124" customWidth="1"/>
    <col min="4882" max="4888" width="9.21875" style="124" customWidth="1"/>
    <col min="4889" max="4889" width="3.44140625" style="124" customWidth="1"/>
    <col min="4890" max="5120" width="9.21875" style="124" customWidth="1"/>
    <col min="5121" max="5121" width="1.21875" style="124" customWidth="1"/>
    <col min="5122" max="5122" width="12.21875" style="124"/>
    <col min="5123" max="5123" width="1.21875" style="124" customWidth="1"/>
    <col min="5124" max="5124" width="12.21875" style="124" customWidth="1"/>
    <col min="5125" max="5125" width="37.44140625" style="124" customWidth="1"/>
    <col min="5126" max="5128" width="13.5546875" style="124" customWidth="1"/>
    <col min="5129" max="5129" width="14.77734375" style="124" customWidth="1"/>
    <col min="5130" max="5130" width="1.44140625" style="124" customWidth="1"/>
    <col min="5131" max="5131" width="7.44140625" style="124" customWidth="1"/>
    <col min="5132" max="5132" width="9" style="124" customWidth="1"/>
    <col min="5133" max="5133" width="5.44140625" style="124" customWidth="1"/>
    <col min="5134" max="5134" width="9.21875" style="124" bestFit="1" customWidth="1"/>
    <col min="5135" max="5135" width="16.5546875" style="124" customWidth="1"/>
    <col min="5136" max="5136" width="2.44140625" style="124" customWidth="1"/>
    <col min="5137" max="5137" width="8" style="124" customWidth="1"/>
    <col min="5138" max="5144" width="9.21875" style="124" customWidth="1"/>
    <col min="5145" max="5145" width="3.44140625" style="124" customWidth="1"/>
    <col min="5146" max="5376" width="9.21875" style="124" customWidth="1"/>
    <col min="5377" max="5377" width="1.21875" style="124" customWidth="1"/>
    <col min="5378" max="5378" width="12.21875" style="124"/>
    <col min="5379" max="5379" width="1.21875" style="124" customWidth="1"/>
    <col min="5380" max="5380" width="12.21875" style="124" customWidth="1"/>
    <col min="5381" max="5381" width="37.44140625" style="124" customWidth="1"/>
    <col min="5382" max="5384" width="13.5546875" style="124" customWidth="1"/>
    <col min="5385" max="5385" width="14.77734375" style="124" customWidth="1"/>
    <col min="5386" max="5386" width="1.44140625" style="124" customWidth="1"/>
    <col min="5387" max="5387" width="7.44140625" style="124" customWidth="1"/>
    <col min="5388" max="5388" width="9" style="124" customWidth="1"/>
    <col min="5389" max="5389" width="5.44140625" style="124" customWidth="1"/>
    <col min="5390" max="5390" width="9.21875" style="124" bestFit="1" customWidth="1"/>
    <col min="5391" max="5391" width="16.5546875" style="124" customWidth="1"/>
    <col min="5392" max="5392" width="2.44140625" style="124" customWidth="1"/>
    <col min="5393" max="5393" width="8" style="124" customWidth="1"/>
    <col min="5394" max="5400" width="9.21875" style="124" customWidth="1"/>
    <col min="5401" max="5401" width="3.44140625" style="124" customWidth="1"/>
    <col min="5402" max="5632" width="9.21875" style="124" customWidth="1"/>
    <col min="5633" max="5633" width="1.21875" style="124" customWidth="1"/>
    <col min="5634" max="5634" width="12.21875" style="124"/>
    <col min="5635" max="5635" width="1.21875" style="124" customWidth="1"/>
    <col min="5636" max="5636" width="12.21875" style="124" customWidth="1"/>
    <col min="5637" max="5637" width="37.44140625" style="124" customWidth="1"/>
    <col min="5638" max="5640" width="13.5546875" style="124" customWidth="1"/>
    <col min="5641" max="5641" width="14.77734375" style="124" customWidth="1"/>
    <col min="5642" max="5642" width="1.44140625" style="124" customWidth="1"/>
    <col min="5643" max="5643" width="7.44140625" style="124" customWidth="1"/>
    <col min="5644" max="5644" width="9" style="124" customWidth="1"/>
    <col min="5645" max="5645" width="5.44140625" style="124" customWidth="1"/>
    <col min="5646" max="5646" width="9.21875" style="124" bestFit="1" customWidth="1"/>
    <col min="5647" max="5647" width="16.5546875" style="124" customWidth="1"/>
    <col min="5648" max="5648" width="2.44140625" style="124" customWidth="1"/>
    <col min="5649" max="5649" width="8" style="124" customWidth="1"/>
    <col min="5650" max="5656" width="9.21875" style="124" customWidth="1"/>
    <col min="5657" max="5657" width="3.44140625" style="124" customWidth="1"/>
    <col min="5658" max="5888" width="9.21875" style="124" customWidth="1"/>
    <col min="5889" max="5889" width="1.21875" style="124" customWidth="1"/>
    <col min="5890" max="5890" width="12.21875" style="124"/>
    <col min="5891" max="5891" width="1.21875" style="124" customWidth="1"/>
    <col min="5892" max="5892" width="12.21875" style="124" customWidth="1"/>
    <col min="5893" max="5893" width="37.44140625" style="124" customWidth="1"/>
    <col min="5894" max="5896" width="13.5546875" style="124" customWidth="1"/>
    <col min="5897" max="5897" width="14.77734375" style="124" customWidth="1"/>
    <col min="5898" max="5898" width="1.44140625" style="124" customWidth="1"/>
    <col min="5899" max="5899" width="7.44140625" style="124" customWidth="1"/>
    <col min="5900" max="5900" width="9" style="124" customWidth="1"/>
    <col min="5901" max="5901" width="5.44140625" style="124" customWidth="1"/>
    <col min="5902" max="5902" width="9.21875" style="124" bestFit="1" customWidth="1"/>
    <col min="5903" max="5903" width="16.5546875" style="124" customWidth="1"/>
    <col min="5904" max="5904" width="2.44140625" style="124" customWidth="1"/>
    <col min="5905" max="5905" width="8" style="124" customWidth="1"/>
    <col min="5906" max="5912" width="9.21875" style="124" customWidth="1"/>
    <col min="5913" max="5913" width="3.44140625" style="124" customWidth="1"/>
    <col min="5914" max="6144" width="9.21875" style="124" customWidth="1"/>
    <col min="6145" max="6145" width="1.21875" style="124" customWidth="1"/>
    <col min="6146" max="6146" width="12.21875" style="124"/>
    <col min="6147" max="6147" width="1.21875" style="124" customWidth="1"/>
    <col min="6148" max="6148" width="12.21875" style="124" customWidth="1"/>
    <col min="6149" max="6149" width="37.44140625" style="124" customWidth="1"/>
    <col min="6150" max="6152" width="13.5546875" style="124" customWidth="1"/>
    <col min="6153" max="6153" width="14.77734375" style="124" customWidth="1"/>
    <col min="6154" max="6154" width="1.44140625" style="124" customWidth="1"/>
    <col min="6155" max="6155" width="7.44140625" style="124" customWidth="1"/>
    <col min="6156" max="6156" width="9" style="124" customWidth="1"/>
    <col min="6157" max="6157" width="5.44140625" style="124" customWidth="1"/>
    <col min="6158" max="6158" width="9.21875" style="124" bestFit="1" customWidth="1"/>
    <col min="6159" max="6159" width="16.5546875" style="124" customWidth="1"/>
    <col min="6160" max="6160" width="2.44140625" style="124" customWidth="1"/>
    <col min="6161" max="6161" width="8" style="124" customWidth="1"/>
    <col min="6162" max="6168" width="9.21875" style="124" customWidth="1"/>
    <col min="6169" max="6169" width="3.44140625" style="124" customWidth="1"/>
    <col min="6170" max="6400" width="9.21875" style="124" customWidth="1"/>
    <col min="6401" max="6401" width="1.21875" style="124" customWidth="1"/>
    <col min="6402" max="6402" width="12.21875" style="124"/>
    <col min="6403" max="6403" width="1.21875" style="124" customWidth="1"/>
    <col min="6404" max="6404" width="12.21875" style="124" customWidth="1"/>
    <col min="6405" max="6405" width="37.44140625" style="124" customWidth="1"/>
    <col min="6406" max="6408" width="13.5546875" style="124" customWidth="1"/>
    <col min="6409" max="6409" width="14.77734375" style="124" customWidth="1"/>
    <col min="6410" max="6410" width="1.44140625" style="124" customWidth="1"/>
    <col min="6411" max="6411" width="7.44140625" style="124" customWidth="1"/>
    <col min="6412" max="6412" width="9" style="124" customWidth="1"/>
    <col min="6413" max="6413" width="5.44140625" style="124" customWidth="1"/>
    <col min="6414" max="6414" width="9.21875" style="124" bestFit="1" customWidth="1"/>
    <col min="6415" max="6415" width="16.5546875" style="124" customWidth="1"/>
    <col min="6416" max="6416" width="2.44140625" style="124" customWidth="1"/>
    <col min="6417" max="6417" width="8" style="124" customWidth="1"/>
    <col min="6418" max="6424" width="9.21875" style="124" customWidth="1"/>
    <col min="6425" max="6425" width="3.44140625" style="124" customWidth="1"/>
    <col min="6426" max="6656" width="9.21875" style="124" customWidth="1"/>
    <col min="6657" max="6657" width="1.21875" style="124" customWidth="1"/>
    <col min="6658" max="6658" width="12.21875" style="124"/>
    <col min="6659" max="6659" width="1.21875" style="124" customWidth="1"/>
    <col min="6660" max="6660" width="12.21875" style="124" customWidth="1"/>
    <col min="6661" max="6661" width="37.44140625" style="124" customWidth="1"/>
    <col min="6662" max="6664" width="13.5546875" style="124" customWidth="1"/>
    <col min="6665" max="6665" width="14.77734375" style="124" customWidth="1"/>
    <col min="6666" max="6666" width="1.44140625" style="124" customWidth="1"/>
    <col min="6667" max="6667" width="7.44140625" style="124" customWidth="1"/>
    <col min="6668" max="6668" width="9" style="124" customWidth="1"/>
    <col min="6669" max="6669" width="5.44140625" style="124" customWidth="1"/>
    <col min="6670" max="6670" width="9.21875" style="124" bestFit="1" customWidth="1"/>
    <col min="6671" max="6671" width="16.5546875" style="124" customWidth="1"/>
    <col min="6672" max="6672" width="2.44140625" style="124" customWidth="1"/>
    <col min="6673" max="6673" width="8" style="124" customWidth="1"/>
    <col min="6674" max="6680" width="9.21875" style="124" customWidth="1"/>
    <col min="6681" max="6681" width="3.44140625" style="124" customWidth="1"/>
    <col min="6682" max="6912" width="9.21875" style="124" customWidth="1"/>
    <col min="6913" max="6913" width="1.21875" style="124" customWidth="1"/>
    <col min="6914" max="6914" width="12.21875" style="124"/>
    <col min="6915" max="6915" width="1.21875" style="124" customWidth="1"/>
    <col min="6916" max="6916" width="12.21875" style="124" customWidth="1"/>
    <col min="6917" max="6917" width="37.44140625" style="124" customWidth="1"/>
    <col min="6918" max="6920" width="13.5546875" style="124" customWidth="1"/>
    <col min="6921" max="6921" width="14.77734375" style="124" customWidth="1"/>
    <col min="6922" max="6922" width="1.44140625" style="124" customWidth="1"/>
    <col min="6923" max="6923" width="7.44140625" style="124" customWidth="1"/>
    <col min="6924" max="6924" width="9" style="124" customWidth="1"/>
    <col min="6925" max="6925" width="5.44140625" style="124" customWidth="1"/>
    <col min="6926" max="6926" width="9.21875" style="124" bestFit="1" customWidth="1"/>
    <col min="6927" max="6927" width="16.5546875" style="124" customWidth="1"/>
    <col min="6928" max="6928" width="2.44140625" style="124" customWidth="1"/>
    <col min="6929" max="6929" width="8" style="124" customWidth="1"/>
    <col min="6930" max="6936" width="9.21875" style="124" customWidth="1"/>
    <col min="6937" max="6937" width="3.44140625" style="124" customWidth="1"/>
    <col min="6938" max="7168" width="9.21875" style="124" customWidth="1"/>
    <col min="7169" max="7169" width="1.21875" style="124" customWidth="1"/>
    <col min="7170" max="7170" width="12.21875" style="124"/>
    <col min="7171" max="7171" width="1.21875" style="124" customWidth="1"/>
    <col min="7172" max="7172" width="12.21875" style="124" customWidth="1"/>
    <col min="7173" max="7173" width="37.44140625" style="124" customWidth="1"/>
    <col min="7174" max="7176" width="13.5546875" style="124" customWidth="1"/>
    <col min="7177" max="7177" width="14.77734375" style="124" customWidth="1"/>
    <col min="7178" max="7178" width="1.44140625" style="124" customWidth="1"/>
    <col min="7179" max="7179" width="7.44140625" style="124" customWidth="1"/>
    <col min="7180" max="7180" width="9" style="124" customWidth="1"/>
    <col min="7181" max="7181" width="5.44140625" style="124" customWidth="1"/>
    <col min="7182" max="7182" width="9.21875" style="124" bestFit="1" customWidth="1"/>
    <col min="7183" max="7183" width="16.5546875" style="124" customWidth="1"/>
    <col min="7184" max="7184" width="2.44140625" style="124" customWidth="1"/>
    <col min="7185" max="7185" width="8" style="124" customWidth="1"/>
    <col min="7186" max="7192" width="9.21875" style="124" customWidth="1"/>
    <col min="7193" max="7193" width="3.44140625" style="124" customWidth="1"/>
    <col min="7194" max="7424" width="9.21875" style="124" customWidth="1"/>
    <col min="7425" max="7425" width="1.21875" style="124" customWidth="1"/>
    <col min="7426" max="7426" width="12.21875" style="124"/>
    <col min="7427" max="7427" width="1.21875" style="124" customWidth="1"/>
    <col min="7428" max="7428" width="12.21875" style="124" customWidth="1"/>
    <col min="7429" max="7429" width="37.44140625" style="124" customWidth="1"/>
    <col min="7430" max="7432" width="13.5546875" style="124" customWidth="1"/>
    <col min="7433" max="7433" width="14.77734375" style="124" customWidth="1"/>
    <col min="7434" max="7434" width="1.44140625" style="124" customWidth="1"/>
    <col min="7435" max="7435" width="7.44140625" style="124" customWidth="1"/>
    <col min="7436" max="7436" width="9" style="124" customWidth="1"/>
    <col min="7437" max="7437" width="5.44140625" style="124" customWidth="1"/>
    <col min="7438" max="7438" width="9.21875" style="124" bestFit="1" customWidth="1"/>
    <col min="7439" max="7439" width="16.5546875" style="124" customWidth="1"/>
    <col min="7440" max="7440" width="2.44140625" style="124" customWidth="1"/>
    <col min="7441" max="7441" width="8" style="124" customWidth="1"/>
    <col min="7442" max="7448" width="9.21875" style="124" customWidth="1"/>
    <col min="7449" max="7449" width="3.44140625" style="124" customWidth="1"/>
    <col min="7450" max="7680" width="9.21875" style="124" customWidth="1"/>
    <col min="7681" max="7681" width="1.21875" style="124" customWidth="1"/>
    <col min="7682" max="7682" width="12.21875" style="124"/>
    <col min="7683" max="7683" width="1.21875" style="124" customWidth="1"/>
    <col min="7684" max="7684" width="12.21875" style="124" customWidth="1"/>
    <col min="7685" max="7685" width="37.44140625" style="124" customWidth="1"/>
    <col min="7686" max="7688" width="13.5546875" style="124" customWidth="1"/>
    <col min="7689" max="7689" width="14.77734375" style="124" customWidth="1"/>
    <col min="7690" max="7690" width="1.44140625" style="124" customWidth="1"/>
    <col min="7691" max="7691" width="7.44140625" style="124" customWidth="1"/>
    <col min="7692" max="7692" width="9" style="124" customWidth="1"/>
    <col min="7693" max="7693" width="5.44140625" style="124" customWidth="1"/>
    <col min="7694" max="7694" width="9.21875" style="124" bestFit="1" customWidth="1"/>
    <col min="7695" max="7695" width="16.5546875" style="124" customWidth="1"/>
    <col min="7696" max="7696" width="2.44140625" style="124" customWidth="1"/>
    <col min="7697" max="7697" width="8" style="124" customWidth="1"/>
    <col min="7698" max="7704" width="9.21875" style="124" customWidth="1"/>
    <col min="7705" max="7705" width="3.44140625" style="124" customWidth="1"/>
    <col min="7706" max="7936" width="9.21875" style="124" customWidth="1"/>
    <col min="7937" max="7937" width="1.21875" style="124" customWidth="1"/>
    <col min="7938" max="7938" width="12.21875" style="124"/>
    <col min="7939" max="7939" width="1.21875" style="124" customWidth="1"/>
    <col min="7940" max="7940" width="12.21875" style="124" customWidth="1"/>
    <col min="7941" max="7941" width="37.44140625" style="124" customWidth="1"/>
    <col min="7942" max="7944" width="13.5546875" style="124" customWidth="1"/>
    <col min="7945" max="7945" width="14.77734375" style="124" customWidth="1"/>
    <col min="7946" max="7946" width="1.44140625" style="124" customWidth="1"/>
    <col min="7947" max="7947" width="7.44140625" style="124" customWidth="1"/>
    <col min="7948" max="7948" width="9" style="124" customWidth="1"/>
    <col min="7949" max="7949" width="5.44140625" style="124" customWidth="1"/>
    <col min="7950" max="7950" width="9.21875" style="124" bestFit="1" customWidth="1"/>
    <col min="7951" max="7951" width="16.5546875" style="124" customWidth="1"/>
    <col min="7952" max="7952" width="2.44140625" style="124" customWidth="1"/>
    <col min="7953" max="7953" width="8" style="124" customWidth="1"/>
    <col min="7954" max="7960" width="9.21875" style="124" customWidth="1"/>
    <col min="7961" max="7961" width="3.44140625" style="124" customWidth="1"/>
    <col min="7962" max="8192" width="9.21875" style="124" customWidth="1"/>
    <col min="8193" max="8193" width="1.21875" style="124" customWidth="1"/>
    <col min="8194" max="8194" width="12.21875" style="124"/>
    <col min="8195" max="8195" width="1.21875" style="124" customWidth="1"/>
    <col min="8196" max="8196" width="12.21875" style="124" customWidth="1"/>
    <col min="8197" max="8197" width="37.44140625" style="124" customWidth="1"/>
    <col min="8198" max="8200" width="13.5546875" style="124" customWidth="1"/>
    <col min="8201" max="8201" width="14.77734375" style="124" customWidth="1"/>
    <col min="8202" max="8202" width="1.44140625" style="124" customWidth="1"/>
    <col min="8203" max="8203" width="7.44140625" style="124" customWidth="1"/>
    <col min="8204" max="8204" width="9" style="124" customWidth="1"/>
    <col min="8205" max="8205" width="5.44140625" style="124" customWidth="1"/>
    <col min="8206" max="8206" width="9.21875" style="124" bestFit="1" customWidth="1"/>
    <col min="8207" max="8207" width="16.5546875" style="124" customWidth="1"/>
    <col min="8208" max="8208" width="2.44140625" style="124" customWidth="1"/>
    <col min="8209" max="8209" width="8" style="124" customWidth="1"/>
    <col min="8210" max="8216" width="9.21875" style="124" customWidth="1"/>
    <col min="8217" max="8217" width="3.44140625" style="124" customWidth="1"/>
    <col min="8218" max="8448" width="9.21875" style="124" customWidth="1"/>
    <col min="8449" max="8449" width="1.21875" style="124" customWidth="1"/>
    <col min="8450" max="8450" width="12.21875" style="124"/>
    <col min="8451" max="8451" width="1.21875" style="124" customWidth="1"/>
    <col min="8452" max="8452" width="12.21875" style="124" customWidth="1"/>
    <col min="8453" max="8453" width="37.44140625" style="124" customWidth="1"/>
    <col min="8454" max="8456" width="13.5546875" style="124" customWidth="1"/>
    <col min="8457" max="8457" width="14.77734375" style="124" customWidth="1"/>
    <col min="8458" max="8458" width="1.44140625" style="124" customWidth="1"/>
    <col min="8459" max="8459" width="7.44140625" style="124" customWidth="1"/>
    <col min="8460" max="8460" width="9" style="124" customWidth="1"/>
    <col min="8461" max="8461" width="5.44140625" style="124" customWidth="1"/>
    <col min="8462" max="8462" width="9.21875" style="124" bestFit="1" customWidth="1"/>
    <col min="8463" max="8463" width="16.5546875" style="124" customWidth="1"/>
    <col min="8464" max="8464" width="2.44140625" style="124" customWidth="1"/>
    <col min="8465" max="8465" width="8" style="124" customWidth="1"/>
    <col min="8466" max="8472" width="9.21875" style="124" customWidth="1"/>
    <col min="8473" max="8473" width="3.44140625" style="124" customWidth="1"/>
    <col min="8474" max="8704" width="9.21875" style="124" customWidth="1"/>
    <col min="8705" max="8705" width="1.21875" style="124" customWidth="1"/>
    <col min="8706" max="8706" width="12.21875" style="124"/>
    <col min="8707" max="8707" width="1.21875" style="124" customWidth="1"/>
    <col min="8708" max="8708" width="12.21875" style="124" customWidth="1"/>
    <col min="8709" max="8709" width="37.44140625" style="124" customWidth="1"/>
    <col min="8710" max="8712" width="13.5546875" style="124" customWidth="1"/>
    <col min="8713" max="8713" width="14.77734375" style="124" customWidth="1"/>
    <col min="8714" max="8714" width="1.44140625" style="124" customWidth="1"/>
    <col min="8715" max="8715" width="7.44140625" style="124" customWidth="1"/>
    <col min="8716" max="8716" width="9" style="124" customWidth="1"/>
    <col min="8717" max="8717" width="5.44140625" style="124" customWidth="1"/>
    <col min="8718" max="8718" width="9.21875" style="124" bestFit="1" customWidth="1"/>
    <col min="8719" max="8719" width="16.5546875" style="124" customWidth="1"/>
    <col min="8720" max="8720" width="2.44140625" style="124" customWidth="1"/>
    <col min="8721" max="8721" width="8" style="124" customWidth="1"/>
    <col min="8722" max="8728" width="9.21875" style="124" customWidth="1"/>
    <col min="8729" max="8729" width="3.44140625" style="124" customWidth="1"/>
    <col min="8730" max="8960" width="9.21875" style="124" customWidth="1"/>
    <col min="8961" max="8961" width="1.21875" style="124" customWidth="1"/>
    <col min="8962" max="8962" width="12.21875" style="124"/>
    <col min="8963" max="8963" width="1.21875" style="124" customWidth="1"/>
    <col min="8964" max="8964" width="12.21875" style="124" customWidth="1"/>
    <col min="8965" max="8965" width="37.44140625" style="124" customWidth="1"/>
    <col min="8966" max="8968" width="13.5546875" style="124" customWidth="1"/>
    <col min="8969" max="8969" width="14.77734375" style="124" customWidth="1"/>
    <col min="8970" max="8970" width="1.44140625" style="124" customWidth="1"/>
    <col min="8971" max="8971" width="7.44140625" style="124" customWidth="1"/>
    <col min="8972" max="8972" width="9" style="124" customWidth="1"/>
    <col min="8973" max="8973" width="5.44140625" style="124" customWidth="1"/>
    <col min="8974" max="8974" width="9.21875" style="124" bestFit="1" customWidth="1"/>
    <col min="8975" max="8975" width="16.5546875" style="124" customWidth="1"/>
    <col min="8976" max="8976" width="2.44140625" style="124" customWidth="1"/>
    <col min="8977" max="8977" width="8" style="124" customWidth="1"/>
    <col min="8978" max="8984" width="9.21875" style="124" customWidth="1"/>
    <col min="8985" max="8985" width="3.44140625" style="124" customWidth="1"/>
    <col min="8986" max="9216" width="9.21875" style="124" customWidth="1"/>
    <col min="9217" max="9217" width="1.21875" style="124" customWidth="1"/>
    <col min="9218" max="9218" width="12.21875" style="124"/>
    <col min="9219" max="9219" width="1.21875" style="124" customWidth="1"/>
    <col min="9220" max="9220" width="12.21875" style="124" customWidth="1"/>
    <col min="9221" max="9221" width="37.44140625" style="124" customWidth="1"/>
    <col min="9222" max="9224" width="13.5546875" style="124" customWidth="1"/>
    <col min="9225" max="9225" width="14.77734375" style="124" customWidth="1"/>
    <col min="9226" max="9226" width="1.44140625" style="124" customWidth="1"/>
    <col min="9227" max="9227" width="7.44140625" style="124" customWidth="1"/>
    <col min="9228" max="9228" width="9" style="124" customWidth="1"/>
    <col min="9229" max="9229" width="5.44140625" style="124" customWidth="1"/>
    <col min="9230" max="9230" width="9.21875" style="124" bestFit="1" customWidth="1"/>
    <col min="9231" max="9231" width="16.5546875" style="124" customWidth="1"/>
    <col min="9232" max="9232" width="2.44140625" style="124" customWidth="1"/>
    <col min="9233" max="9233" width="8" style="124" customWidth="1"/>
    <col min="9234" max="9240" width="9.21875" style="124" customWidth="1"/>
    <col min="9241" max="9241" width="3.44140625" style="124" customWidth="1"/>
    <col min="9242" max="9472" width="9.21875" style="124" customWidth="1"/>
    <col min="9473" max="9473" width="1.21875" style="124" customWidth="1"/>
    <col min="9474" max="9474" width="12.21875" style="124"/>
    <col min="9475" max="9475" width="1.21875" style="124" customWidth="1"/>
    <col min="9476" max="9476" width="12.21875" style="124" customWidth="1"/>
    <col min="9477" max="9477" width="37.44140625" style="124" customWidth="1"/>
    <col min="9478" max="9480" width="13.5546875" style="124" customWidth="1"/>
    <col min="9481" max="9481" width="14.77734375" style="124" customWidth="1"/>
    <col min="9482" max="9482" width="1.44140625" style="124" customWidth="1"/>
    <col min="9483" max="9483" width="7.44140625" style="124" customWidth="1"/>
    <col min="9484" max="9484" width="9" style="124" customWidth="1"/>
    <col min="9485" max="9485" width="5.44140625" style="124" customWidth="1"/>
    <col min="9486" max="9486" width="9.21875" style="124" bestFit="1" customWidth="1"/>
    <col min="9487" max="9487" width="16.5546875" style="124" customWidth="1"/>
    <col min="9488" max="9488" width="2.44140625" style="124" customWidth="1"/>
    <col min="9489" max="9489" width="8" style="124" customWidth="1"/>
    <col min="9490" max="9496" width="9.21875" style="124" customWidth="1"/>
    <col min="9497" max="9497" width="3.44140625" style="124" customWidth="1"/>
    <col min="9498" max="9728" width="9.21875" style="124" customWidth="1"/>
    <col min="9729" max="9729" width="1.21875" style="124" customWidth="1"/>
    <col min="9730" max="9730" width="12.21875" style="124"/>
    <col min="9731" max="9731" width="1.21875" style="124" customWidth="1"/>
    <col min="9732" max="9732" width="12.21875" style="124" customWidth="1"/>
    <col min="9733" max="9733" width="37.44140625" style="124" customWidth="1"/>
    <col min="9734" max="9736" width="13.5546875" style="124" customWidth="1"/>
    <col min="9737" max="9737" width="14.77734375" style="124" customWidth="1"/>
    <col min="9738" max="9738" width="1.44140625" style="124" customWidth="1"/>
    <col min="9739" max="9739" width="7.44140625" style="124" customWidth="1"/>
    <col min="9740" max="9740" width="9" style="124" customWidth="1"/>
    <col min="9741" max="9741" width="5.44140625" style="124" customWidth="1"/>
    <col min="9742" max="9742" width="9.21875" style="124" bestFit="1" customWidth="1"/>
    <col min="9743" max="9743" width="16.5546875" style="124" customWidth="1"/>
    <col min="9744" max="9744" width="2.44140625" style="124" customWidth="1"/>
    <col min="9745" max="9745" width="8" style="124" customWidth="1"/>
    <col min="9746" max="9752" width="9.21875" style="124" customWidth="1"/>
    <col min="9753" max="9753" width="3.44140625" style="124" customWidth="1"/>
    <col min="9754" max="9984" width="9.21875" style="124" customWidth="1"/>
    <col min="9985" max="9985" width="1.21875" style="124" customWidth="1"/>
    <col min="9986" max="9986" width="12.21875" style="124"/>
    <col min="9987" max="9987" width="1.21875" style="124" customWidth="1"/>
    <col min="9988" max="9988" width="12.21875" style="124" customWidth="1"/>
    <col min="9989" max="9989" width="37.44140625" style="124" customWidth="1"/>
    <col min="9990" max="9992" width="13.5546875" style="124" customWidth="1"/>
    <col min="9993" max="9993" width="14.77734375" style="124" customWidth="1"/>
    <col min="9994" max="9994" width="1.44140625" style="124" customWidth="1"/>
    <col min="9995" max="9995" width="7.44140625" style="124" customWidth="1"/>
    <col min="9996" max="9996" width="9" style="124" customWidth="1"/>
    <col min="9997" max="9997" width="5.44140625" style="124" customWidth="1"/>
    <col min="9998" max="9998" width="9.21875" style="124" bestFit="1" customWidth="1"/>
    <col min="9999" max="9999" width="16.5546875" style="124" customWidth="1"/>
    <col min="10000" max="10000" width="2.44140625" style="124" customWidth="1"/>
    <col min="10001" max="10001" width="8" style="124" customWidth="1"/>
    <col min="10002" max="10008" width="9.21875" style="124" customWidth="1"/>
    <col min="10009" max="10009" width="3.44140625" style="124" customWidth="1"/>
    <col min="10010" max="10240" width="9.21875" style="124" customWidth="1"/>
    <col min="10241" max="10241" width="1.21875" style="124" customWidth="1"/>
    <col min="10242" max="10242" width="12.21875" style="124"/>
    <col min="10243" max="10243" width="1.21875" style="124" customWidth="1"/>
    <col min="10244" max="10244" width="12.21875" style="124" customWidth="1"/>
    <col min="10245" max="10245" width="37.44140625" style="124" customWidth="1"/>
    <col min="10246" max="10248" width="13.5546875" style="124" customWidth="1"/>
    <col min="10249" max="10249" width="14.77734375" style="124" customWidth="1"/>
    <col min="10250" max="10250" width="1.44140625" style="124" customWidth="1"/>
    <col min="10251" max="10251" width="7.44140625" style="124" customWidth="1"/>
    <col min="10252" max="10252" width="9" style="124" customWidth="1"/>
    <col min="10253" max="10253" width="5.44140625" style="124" customWidth="1"/>
    <col min="10254" max="10254" width="9.21875" style="124" bestFit="1" customWidth="1"/>
    <col min="10255" max="10255" width="16.5546875" style="124" customWidth="1"/>
    <col min="10256" max="10256" width="2.44140625" style="124" customWidth="1"/>
    <col min="10257" max="10257" width="8" style="124" customWidth="1"/>
    <col min="10258" max="10264" width="9.21875" style="124" customWidth="1"/>
    <col min="10265" max="10265" width="3.44140625" style="124" customWidth="1"/>
    <col min="10266" max="10496" width="9.21875" style="124" customWidth="1"/>
    <col min="10497" max="10497" width="1.21875" style="124" customWidth="1"/>
    <col min="10498" max="10498" width="12.21875" style="124"/>
    <col min="10499" max="10499" width="1.21875" style="124" customWidth="1"/>
    <col min="10500" max="10500" width="12.21875" style="124" customWidth="1"/>
    <col min="10501" max="10501" width="37.44140625" style="124" customWidth="1"/>
    <col min="10502" max="10504" width="13.5546875" style="124" customWidth="1"/>
    <col min="10505" max="10505" width="14.77734375" style="124" customWidth="1"/>
    <col min="10506" max="10506" width="1.44140625" style="124" customWidth="1"/>
    <col min="10507" max="10507" width="7.44140625" style="124" customWidth="1"/>
    <col min="10508" max="10508" width="9" style="124" customWidth="1"/>
    <col min="10509" max="10509" width="5.44140625" style="124" customWidth="1"/>
    <col min="10510" max="10510" width="9.21875" style="124" bestFit="1" customWidth="1"/>
    <col min="10511" max="10511" width="16.5546875" style="124" customWidth="1"/>
    <col min="10512" max="10512" width="2.44140625" style="124" customWidth="1"/>
    <col min="10513" max="10513" width="8" style="124" customWidth="1"/>
    <col min="10514" max="10520" width="9.21875" style="124" customWidth="1"/>
    <col min="10521" max="10521" width="3.44140625" style="124" customWidth="1"/>
    <col min="10522" max="10752" width="9.21875" style="124" customWidth="1"/>
    <col min="10753" max="10753" width="1.21875" style="124" customWidth="1"/>
    <col min="10754" max="10754" width="12.21875" style="124"/>
    <col min="10755" max="10755" width="1.21875" style="124" customWidth="1"/>
    <col min="10756" max="10756" width="12.21875" style="124" customWidth="1"/>
    <col min="10757" max="10757" width="37.44140625" style="124" customWidth="1"/>
    <col min="10758" max="10760" width="13.5546875" style="124" customWidth="1"/>
    <col min="10761" max="10761" width="14.77734375" style="124" customWidth="1"/>
    <col min="10762" max="10762" width="1.44140625" style="124" customWidth="1"/>
    <col min="10763" max="10763" width="7.44140625" style="124" customWidth="1"/>
    <col min="10764" max="10764" width="9" style="124" customWidth="1"/>
    <col min="10765" max="10765" width="5.44140625" style="124" customWidth="1"/>
    <col min="10766" max="10766" width="9.21875" style="124" bestFit="1" customWidth="1"/>
    <col min="10767" max="10767" width="16.5546875" style="124" customWidth="1"/>
    <col min="10768" max="10768" width="2.44140625" style="124" customWidth="1"/>
    <col min="10769" max="10769" width="8" style="124" customWidth="1"/>
    <col min="10770" max="10776" width="9.21875" style="124" customWidth="1"/>
    <col min="10777" max="10777" width="3.44140625" style="124" customWidth="1"/>
    <col min="10778" max="11008" width="9.21875" style="124" customWidth="1"/>
    <col min="11009" max="11009" width="1.21875" style="124" customWidth="1"/>
    <col min="11010" max="11010" width="12.21875" style="124"/>
    <col min="11011" max="11011" width="1.21875" style="124" customWidth="1"/>
    <col min="11012" max="11012" width="12.21875" style="124" customWidth="1"/>
    <col min="11013" max="11013" width="37.44140625" style="124" customWidth="1"/>
    <col min="11014" max="11016" width="13.5546875" style="124" customWidth="1"/>
    <col min="11017" max="11017" width="14.77734375" style="124" customWidth="1"/>
    <col min="11018" max="11018" width="1.44140625" style="124" customWidth="1"/>
    <col min="11019" max="11019" width="7.44140625" style="124" customWidth="1"/>
    <col min="11020" max="11020" width="9" style="124" customWidth="1"/>
    <col min="11021" max="11021" width="5.44140625" style="124" customWidth="1"/>
    <col min="11022" max="11022" width="9.21875" style="124" bestFit="1" customWidth="1"/>
    <col min="11023" max="11023" width="16.5546875" style="124" customWidth="1"/>
    <col min="11024" max="11024" width="2.44140625" style="124" customWidth="1"/>
    <col min="11025" max="11025" width="8" style="124" customWidth="1"/>
    <col min="11026" max="11032" width="9.21875" style="124" customWidth="1"/>
    <col min="11033" max="11033" width="3.44140625" style="124" customWidth="1"/>
    <col min="11034" max="11264" width="9.21875" style="124" customWidth="1"/>
    <col min="11265" max="11265" width="1.21875" style="124" customWidth="1"/>
    <col min="11266" max="11266" width="12.21875" style="124"/>
    <col min="11267" max="11267" width="1.21875" style="124" customWidth="1"/>
    <col min="11268" max="11268" width="12.21875" style="124" customWidth="1"/>
    <col min="11269" max="11269" width="37.44140625" style="124" customWidth="1"/>
    <col min="11270" max="11272" width="13.5546875" style="124" customWidth="1"/>
    <col min="11273" max="11273" width="14.77734375" style="124" customWidth="1"/>
    <col min="11274" max="11274" width="1.44140625" style="124" customWidth="1"/>
    <col min="11275" max="11275" width="7.44140625" style="124" customWidth="1"/>
    <col min="11276" max="11276" width="9" style="124" customWidth="1"/>
    <col min="11277" max="11277" width="5.44140625" style="124" customWidth="1"/>
    <col min="11278" max="11278" width="9.21875" style="124" bestFit="1" customWidth="1"/>
    <col min="11279" max="11279" width="16.5546875" style="124" customWidth="1"/>
    <col min="11280" max="11280" width="2.44140625" style="124" customWidth="1"/>
    <col min="11281" max="11281" width="8" style="124" customWidth="1"/>
    <col min="11282" max="11288" width="9.21875" style="124" customWidth="1"/>
    <col min="11289" max="11289" width="3.44140625" style="124" customWidth="1"/>
    <col min="11290" max="11520" width="9.21875" style="124" customWidth="1"/>
    <col min="11521" max="11521" width="1.21875" style="124" customWidth="1"/>
    <col min="11522" max="11522" width="12.21875" style="124"/>
    <col min="11523" max="11523" width="1.21875" style="124" customWidth="1"/>
    <col min="11524" max="11524" width="12.21875" style="124" customWidth="1"/>
    <col min="11525" max="11525" width="37.44140625" style="124" customWidth="1"/>
    <col min="11526" max="11528" width="13.5546875" style="124" customWidth="1"/>
    <col min="11529" max="11529" width="14.77734375" style="124" customWidth="1"/>
    <col min="11530" max="11530" width="1.44140625" style="124" customWidth="1"/>
    <col min="11531" max="11531" width="7.44140625" style="124" customWidth="1"/>
    <col min="11532" max="11532" width="9" style="124" customWidth="1"/>
    <col min="11533" max="11533" width="5.44140625" style="124" customWidth="1"/>
    <col min="11534" max="11534" width="9.21875" style="124" bestFit="1" customWidth="1"/>
    <col min="11535" max="11535" width="16.5546875" style="124" customWidth="1"/>
    <col min="11536" max="11536" width="2.44140625" style="124" customWidth="1"/>
    <col min="11537" max="11537" width="8" style="124" customWidth="1"/>
    <col min="11538" max="11544" width="9.21875" style="124" customWidth="1"/>
    <col min="11545" max="11545" width="3.44140625" style="124" customWidth="1"/>
    <col min="11546" max="11776" width="9.21875" style="124" customWidth="1"/>
    <col min="11777" max="11777" width="1.21875" style="124" customWidth="1"/>
    <col min="11778" max="11778" width="12.21875" style="124"/>
    <col min="11779" max="11779" width="1.21875" style="124" customWidth="1"/>
    <col min="11780" max="11780" width="12.21875" style="124" customWidth="1"/>
    <col min="11781" max="11781" width="37.44140625" style="124" customWidth="1"/>
    <col min="11782" max="11784" width="13.5546875" style="124" customWidth="1"/>
    <col min="11785" max="11785" width="14.77734375" style="124" customWidth="1"/>
    <col min="11786" max="11786" width="1.44140625" style="124" customWidth="1"/>
    <col min="11787" max="11787" width="7.44140625" style="124" customWidth="1"/>
    <col min="11788" max="11788" width="9" style="124" customWidth="1"/>
    <col min="11789" max="11789" width="5.44140625" style="124" customWidth="1"/>
    <col min="11790" max="11790" width="9.21875" style="124" bestFit="1" customWidth="1"/>
    <col min="11791" max="11791" width="16.5546875" style="124" customWidth="1"/>
    <col min="11792" max="11792" width="2.44140625" style="124" customWidth="1"/>
    <col min="11793" max="11793" width="8" style="124" customWidth="1"/>
    <col min="11794" max="11800" width="9.21875" style="124" customWidth="1"/>
    <col min="11801" max="11801" width="3.44140625" style="124" customWidth="1"/>
    <col min="11802" max="12032" width="9.21875" style="124" customWidth="1"/>
    <col min="12033" max="12033" width="1.21875" style="124" customWidth="1"/>
    <col min="12034" max="12034" width="12.21875" style="124"/>
    <col min="12035" max="12035" width="1.21875" style="124" customWidth="1"/>
    <col min="12036" max="12036" width="12.21875" style="124" customWidth="1"/>
    <col min="12037" max="12037" width="37.44140625" style="124" customWidth="1"/>
    <col min="12038" max="12040" width="13.5546875" style="124" customWidth="1"/>
    <col min="12041" max="12041" width="14.77734375" style="124" customWidth="1"/>
    <col min="12042" max="12042" width="1.44140625" style="124" customWidth="1"/>
    <col min="12043" max="12043" width="7.44140625" style="124" customWidth="1"/>
    <col min="12044" max="12044" width="9" style="124" customWidth="1"/>
    <col min="12045" max="12045" width="5.44140625" style="124" customWidth="1"/>
    <col min="12046" max="12046" width="9.21875" style="124" bestFit="1" customWidth="1"/>
    <col min="12047" max="12047" width="16.5546875" style="124" customWidth="1"/>
    <col min="12048" max="12048" width="2.44140625" style="124" customWidth="1"/>
    <col min="12049" max="12049" width="8" style="124" customWidth="1"/>
    <col min="12050" max="12056" width="9.21875" style="124" customWidth="1"/>
    <col min="12057" max="12057" width="3.44140625" style="124" customWidth="1"/>
    <col min="12058" max="12288" width="9.21875" style="124" customWidth="1"/>
    <col min="12289" max="12289" width="1.21875" style="124" customWidth="1"/>
    <col min="12290" max="12290" width="12.21875" style="124"/>
    <col min="12291" max="12291" width="1.21875" style="124" customWidth="1"/>
    <col min="12292" max="12292" width="12.21875" style="124" customWidth="1"/>
    <col min="12293" max="12293" width="37.44140625" style="124" customWidth="1"/>
    <col min="12294" max="12296" width="13.5546875" style="124" customWidth="1"/>
    <col min="12297" max="12297" width="14.77734375" style="124" customWidth="1"/>
    <col min="12298" max="12298" width="1.44140625" style="124" customWidth="1"/>
    <col min="12299" max="12299" width="7.44140625" style="124" customWidth="1"/>
    <col min="12300" max="12300" width="9" style="124" customWidth="1"/>
    <col min="12301" max="12301" width="5.44140625" style="124" customWidth="1"/>
    <col min="12302" max="12302" width="9.21875" style="124" bestFit="1" customWidth="1"/>
    <col min="12303" max="12303" width="16.5546875" style="124" customWidth="1"/>
    <col min="12304" max="12304" width="2.44140625" style="124" customWidth="1"/>
    <col min="12305" max="12305" width="8" style="124" customWidth="1"/>
    <col min="12306" max="12312" width="9.21875" style="124" customWidth="1"/>
    <col min="12313" max="12313" width="3.44140625" style="124" customWidth="1"/>
    <col min="12314" max="12544" width="9.21875" style="124" customWidth="1"/>
    <col min="12545" max="12545" width="1.21875" style="124" customWidth="1"/>
    <col min="12546" max="12546" width="12.21875" style="124"/>
    <col min="12547" max="12547" width="1.21875" style="124" customWidth="1"/>
    <col min="12548" max="12548" width="12.21875" style="124" customWidth="1"/>
    <col min="12549" max="12549" width="37.44140625" style="124" customWidth="1"/>
    <col min="12550" max="12552" width="13.5546875" style="124" customWidth="1"/>
    <col min="12553" max="12553" width="14.77734375" style="124" customWidth="1"/>
    <col min="12554" max="12554" width="1.44140625" style="124" customWidth="1"/>
    <col min="12555" max="12555" width="7.44140625" style="124" customWidth="1"/>
    <col min="12556" max="12556" width="9" style="124" customWidth="1"/>
    <col min="12557" max="12557" width="5.44140625" style="124" customWidth="1"/>
    <col min="12558" max="12558" width="9.21875" style="124" bestFit="1" customWidth="1"/>
    <col min="12559" max="12559" width="16.5546875" style="124" customWidth="1"/>
    <col min="12560" max="12560" width="2.44140625" style="124" customWidth="1"/>
    <col min="12561" max="12561" width="8" style="124" customWidth="1"/>
    <col min="12562" max="12568" width="9.21875" style="124" customWidth="1"/>
    <col min="12569" max="12569" width="3.44140625" style="124" customWidth="1"/>
    <col min="12570" max="12800" width="9.21875" style="124" customWidth="1"/>
    <col min="12801" max="12801" width="1.21875" style="124" customWidth="1"/>
    <col min="12802" max="12802" width="12.21875" style="124"/>
    <col min="12803" max="12803" width="1.21875" style="124" customWidth="1"/>
    <col min="12804" max="12804" width="12.21875" style="124" customWidth="1"/>
    <col min="12805" max="12805" width="37.44140625" style="124" customWidth="1"/>
    <col min="12806" max="12808" width="13.5546875" style="124" customWidth="1"/>
    <col min="12809" max="12809" width="14.77734375" style="124" customWidth="1"/>
    <col min="12810" max="12810" width="1.44140625" style="124" customWidth="1"/>
    <col min="12811" max="12811" width="7.44140625" style="124" customWidth="1"/>
    <col min="12812" max="12812" width="9" style="124" customWidth="1"/>
    <col min="12813" max="12813" width="5.44140625" style="124" customWidth="1"/>
    <col min="12814" max="12814" width="9.21875" style="124" bestFit="1" customWidth="1"/>
    <col min="12815" max="12815" width="16.5546875" style="124" customWidth="1"/>
    <col min="12816" max="12816" width="2.44140625" style="124" customWidth="1"/>
    <col min="12817" max="12817" width="8" style="124" customWidth="1"/>
    <col min="12818" max="12824" width="9.21875" style="124" customWidth="1"/>
    <col min="12825" max="12825" width="3.44140625" style="124" customWidth="1"/>
    <col min="12826" max="13056" width="9.21875" style="124" customWidth="1"/>
    <col min="13057" max="13057" width="1.21875" style="124" customWidth="1"/>
    <col min="13058" max="13058" width="12.21875" style="124"/>
    <col min="13059" max="13059" width="1.21875" style="124" customWidth="1"/>
    <col min="13060" max="13060" width="12.21875" style="124" customWidth="1"/>
    <col min="13061" max="13061" width="37.44140625" style="124" customWidth="1"/>
    <col min="13062" max="13064" width="13.5546875" style="124" customWidth="1"/>
    <col min="13065" max="13065" width="14.77734375" style="124" customWidth="1"/>
    <col min="13066" max="13066" width="1.44140625" style="124" customWidth="1"/>
    <col min="13067" max="13067" width="7.44140625" style="124" customWidth="1"/>
    <col min="13068" max="13068" width="9" style="124" customWidth="1"/>
    <col min="13069" max="13069" width="5.44140625" style="124" customWidth="1"/>
    <col min="13070" max="13070" width="9.21875" style="124" bestFit="1" customWidth="1"/>
    <col min="13071" max="13071" width="16.5546875" style="124" customWidth="1"/>
    <col min="13072" max="13072" width="2.44140625" style="124" customWidth="1"/>
    <col min="13073" max="13073" width="8" style="124" customWidth="1"/>
    <col min="13074" max="13080" width="9.21875" style="124" customWidth="1"/>
    <col min="13081" max="13081" width="3.44140625" style="124" customWidth="1"/>
    <col min="13082" max="13312" width="9.21875" style="124" customWidth="1"/>
    <col min="13313" max="13313" width="1.21875" style="124" customWidth="1"/>
    <col min="13314" max="13314" width="12.21875" style="124"/>
    <col min="13315" max="13315" width="1.21875" style="124" customWidth="1"/>
    <col min="13316" max="13316" width="12.21875" style="124" customWidth="1"/>
    <col min="13317" max="13317" width="37.44140625" style="124" customWidth="1"/>
    <col min="13318" max="13320" width="13.5546875" style="124" customWidth="1"/>
    <col min="13321" max="13321" width="14.77734375" style="124" customWidth="1"/>
    <col min="13322" max="13322" width="1.44140625" style="124" customWidth="1"/>
    <col min="13323" max="13323" width="7.44140625" style="124" customWidth="1"/>
    <col min="13324" max="13324" width="9" style="124" customWidth="1"/>
    <col min="13325" max="13325" width="5.44140625" style="124" customWidth="1"/>
    <col min="13326" max="13326" width="9.21875" style="124" bestFit="1" customWidth="1"/>
    <col min="13327" max="13327" width="16.5546875" style="124" customWidth="1"/>
    <col min="13328" max="13328" width="2.44140625" style="124" customWidth="1"/>
    <col min="13329" max="13329" width="8" style="124" customWidth="1"/>
    <col min="13330" max="13336" width="9.21875" style="124" customWidth="1"/>
    <col min="13337" max="13337" width="3.44140625" style="124" customWidth="1"/>
    <col min="13338" max="13568" width="9.21875" style="124" customWidth="1"/>
    <col min="13569" max="13569" width="1.21875" style="124" customWidth="1"/>
    <col min="13570" max="13570" width="12.21875" style="124"/>
    <col min="13571" max="13571" width="1.21875" style="124" customWidth="1"/>
    <col min="13572" max="13572" width="12.21875" style="124" customWidth="1"/>
    <col min="13573" max="13573" width="37.44140625" style="124" customWidth="1"/>
    <col min="13574" max="13576" width="13.5546875" style="124" customWidth="1"/>
    <col min="13577" max="13577" width="14.77734375" style="124" customWidth="1"/>
    <col min="13578" max="13578" width="1.44140625" style="124" customWidth="1"/>
    <col min="13579" max="13579" width="7.44140625" style="124" customWidth="1"/>
    <col min="13580" max="13580" width="9" style="124" customWidth="1"/>
    <col min="13581" max="13581" width="5.44140625" style="124" customWidth="1"/>
    <col min="13582" max="13582" width="9.21875" style="124" bestFit="1" customWidth="1"/>
    <col min="13583" max="13583" width="16.5546875" style="124" customWidth="1"/>
    <col min="13584" max="13584" width="2.44140625" style="124" customWidth="1"/>
    <col min="13585" max="13585" width="8" style="124" customWidth="1"/>
    <col min="13586" max="13592" width="9.21875" style="124" customWidth="1"/>
    <col min="13593" max="13593" width="3.44140625" style="124" customWidth="1"/>
    <col min="13594" max="13824" width="9.21875" style="124" customWidth="1"/>
    <col min="13825" max="13825" width="1.21875" style="124" customWidth="1"/>
    <col min="13826" max="13826" width="12.21875" style="124"/>
    <col min="13827" max="13827" width="1.21875" style="124" customWidth="1"/>
    <col min="13828" max="13828" width="12.21875" style="124" customWidth="1"/>
    <col min="13829" max="13829" width="37.44140625" style="124" customWidth="1"/>
    <col min="13830" max="13832" width="13.5546875" style="124" customWidth="1"/>
    <col min="13833" max="13833" width="14.77734375" style="124" customWidth="1"/>
    <col min="13834" max="13834" width="1.44140625" style="124" customWidth="1"/>
    <col min="13835" max="13835" width="7.44140625" style="124" customWidth="1"/>
    <col min="13836" max="13836" width="9" style="124" customWidth="1"/>
    <col min="13837" max="13837" width="5.44140625" style="124" customWidth="1"/>
    <col min="13838" max="13838" width="9.21875" style="124" bestFit="1" customWidth="1"/>
    <col min="13839" max="13839" width="16.5546875" style="124" customWidth="1"/>
    <col min="13840" max="13840" width="2.44140625" style="124" customWidth="1"/>
    <col min="13841" max="13841" width="8" style="124" customWidth="1"/>
    <col min="13842" max="13848" width="9.21875" style="124" customWidth="1"/>
    <col min="13849" max="13849" width="3.44140625" style="124" customWidth="1"/>
    <col min="13850" max="14080" width="9.21875" style="124" customWidth="1"/>
    <col min="14081" max="14081" width="1.21875" style="124" customWidth="1"/>
    <col min="14082" max="14082" width="12.21875" style="124"/>
    <col min="14083" max="14083" width="1.21875" style="124" customWidth="1"/>
    <col min="14084" max="14084" width="12.21875" style="124" customWidth="1"/>
    <col min="14085" max="14085" width="37.44140625" style="124" customWidth="1"/>
    <col min="14086" max="14088" width="13.5546875" style="124" customWidth="1"/>
    <col min="14089" max="14089" width="14.77734375" style="124" customWidth="1"/>
    <col min="14090" max="14090" width="1.44140625" style="124" customWidth="1"/>
    <col min="14091" max="14091" width="7.44140625" style="124" customWidth="1"/>
    <col min="14092" max="14092" width="9" style="124" customWidth="1"/>
    <col min="14093" max="14093" width="5.44140625" style="124" customWidth="1"/>
    <col min="14094" max="14094" width="9.21875" style="124" bestFit="1" customWidth="1"/>
    <col min="14095" max="14095" width="16.5546875" style="124" customWidth="1"/>
    <col min="14096" max="14096" width="2.44140625" style="124" customWidth="1"/>
    <col min="14097" max="14097" width="8" style="124" customWidth="1"/>
    <col min="14098" max="14104" width="9.21875" style="124" customWidth="1"/>
    <col min="14105" max="14105" width="3.44140625" style="124" customWidth="1"/>
    <col min="14106" max="14336" width="9.21875" style="124" customWidth="1"/>
    <col min="14337" max="14337" width="1.21875" style="124" customWidth="1"/>
    <col min="14338" max="14338" width="12.21875" style="124"/>
    <col min="14339" max="14339" width="1.21875" style="124" customWidth="1"/>
    <col min="14340" max="14340" width="12.21875" style="124" customWidth="1"/>
    <col min="14341" max="14341" width="37.44140625" style="124" customWidth="1"/>
    <col min="14342" max="14344" width="13.5546875" style="124" customWidth="1"/>
    <col min="14345" max="14345" width="14.77734375" style="124" customWidth="1"/>
    <col min="14346" max="14346" width="1.44140625" style="124" customWidth="1"/>
    <col min="14347" max="14347" width="7.44140625" style="124" customWidth="1"/>
    <col min="14348" max="14348" width="9" style="124" customWidth="1"/>
    <col min="14349" max="14349" width="5.44140625" style="124" customWidth="1"/>
    <col min="14350" max="14350" width="9.21875" style="124" bestFit="1" customWidth="1"/>
    <col min="14351" max="14351" width="16.5546875" style="124" customWidth="1"/>
    <col min="14352" max="14352" width="2.44140625" style="124" customWidth="1"/>
    <col min="14353" max="14353" width="8" style="124" customWidth="1"/>
    <col min="14354" max="14360" width="9.21875" style="124" customWidth="1"/>
    <col min="14361" max="14361" width="3.44140625" style="124" customWidth="1"/>
    <col min="14362" max="14592" width="9.21875" style="124" customWidth="1"/>
    <col min="14593" max="14593" width="1.21875" style="124" customWidth="1"/>
    <col min="14594" max="14594" width="12.21875" style="124"/>
    <col min="14595" max="14595" width="1.21875" style="124" customWidth="1"/>
    <col min="14596" max="14596" width="12.21875" style="124" customWidth="1"/>
    <col min="14597" max="14597" width="37.44140625" style="124" customWidth="1"/>
    <col min="14598" max="14600" width="13.5546875" style="124" customWidth="1"/>
    <col min="14601" max="14601" width="14.77734375" style="124" customWidth="1"/>
    <col min="14602" max="14602" width="1.44140625" style="124" customWidth="1"/>
    <col min="14603" max="14603" width="7.44140625" style="124" customWidth="1"/>
    <col min="14604" max="14604" width="9" style="124" customWidth="1"/>
    <col min="14605" max="14605" width="5.44140625" style="124" customWidth="1"/>
    <col min="14606" max="14606" width="9.21875" style="124" bestFit="1" customWidth="1"/>
    <col min="14607" max="14607" width="16.5546875" style="124" customWidth="1"/>
    <col min="14608" max="14608" width="2.44140625" style="124" customWidth="1"/>
    <col min="14609" max="14609" width="8" style="124" customWidth="1"/>
    <col min="14610" max="14616" width="9.21875" style="124" customWidth="1"/>
    <col min="14617" max="14617" width="3.44140625" style="124" customWidth="1"/>
    <col min="14618" max="14848" width="9.21875" style="124" customWidth="1"/>
    <col min="14849" max="14849" width="1.21875" style="124" customWidth="1"/>
    <col min="14850" max="14850" width="12.21875" style="124"/>
    <col min="14851" max="14851" width="1.21875" style="124" customWidth="1"/>
    <col min="14852" max="14852" width="12.21875" style="124" customWidth="1"/>
    <col min="14853" max="14853" width="37.44140625" style="124" customWidth="1"/>
    <col min="14854" max="14856" width="13.5546875" style="124" customWidth="1"/>
    <col min="14857" max="14857" width="14.77734375" style="124" customWidth="1"/>
    <col min="14858" max="14858" width="1.44140625" style="124" customWidth="1"/>
    <col min="14859" max="14859" width="7.44140625" style="124" customWidth="1"/>
    <col min="14860" max="14860" width="9" style="124" customWidth="1"/>
    <col min="14861" max="14861" width="5.44140625" style="124" customWidth="1"/>
    <col min="14862" max="14862" width="9.21875" style="124" bestFit="1" customWidth="1"/>
    <col min="14863" max="14863" width="16.5546875" style="124" customWidth="1"/>
    <col min="14864" max="14864" width="2.44140625" style="124" customWidth="1"/>
    <col min="14865" max="14865" width="8" style="124" customWidth="1"/>
    <col min="14866" max="14872" width="9.21875" style="124" customWidth="1"/>
    <col min="14873" max="14873" width="3.44140625" style="124" customWidth="1"/>
    <col min="14874" max="15104" width="9.21875" style="124" customWidth="1"/>
    <col min="15105" max="15105" width="1.21875" style="124" customWidth="1"/>
    <col min="15106" max="15106" width="12.21875" style="124"/>
    <col min="15107" max="15107" width="1.21875" style="124" customWidth="1"/>
    <col min="15108" max="15108" width="12.21875" style="124" customWidth="1"/>
    <col min="15109" max="15109" width="37.44140625" style="124" customWidth="1"/>
    <col min="15110" max="15112" width="13.5546875" style="124" customWidth="1"/>
    <col min="15113" max="15113" width="14.77734375" style="124" customWidth="1"/>
    <col min="15114" max="15114" width="1.44140625" style="124" customWidth="1"/>
    <col min="15115" max="15115" width="7.44140625" style="124" customWidth="1"/>
    <col min="15116" max="15116" width="9" style="124" customWidth="1"/>
    <col min="15117" max="15117" width="5.44140625" style="124" customWidth="1"/>
    <col min="15118" max="15118" width="9.21875" style="124" bestFit="1" customWidth="1"/>
    <col min="15119" max="15119" width="16.5546875" style="124" customWidth="1"/>
    <col min="15120" max="15120" width="2.44140625" style="124" customWidth="1"/>
    <col min="15121" max="15121" width="8" style="124" customWidth="1"/>
    <col min="15122" max="15128" width="9.21875" style="124" customWidth="1"/>
    <col min="15129" max="15129" width="3.44140625" style="124" customWidth="1"/>
    <col min="15130" max="15360" width="9.21875" style="124" customWidth="1"/>
    <col min="15361" max="15361" width="1.21875" style="124" customWidth="1"/>
    <col min="15362" max="15362" width="12.21875" style="124"/>
    <col min="15363" max="15363" width="1.21875" style="124" customWidth="1"/>
    <col min="15364" max="15364" width="12.21875" style="124" customWidth="1"/>
    <col min="15365" max="15365" width="37.44140625" style="124" customWidth="1"/>
    <col min="15366" max="15368" width="13.5546875" style="124" customWidth="1"/>
    <col min="15369" max="15369" width="14.77734375" style="124" customWidth="1"/>
    <col min="15370" max="15370" width="1.44140625" style="124" customWidth="1"/>
    <col min="15371" max="15371" width="7.44140625" style="124" customWidth="1"/>
    <col min="15372" max="15372" width="9" style="124" customWidth="1"/>
    <col min="15373" max="15373" width="5.44140625" style="124" customWidth="1"/>
    <col min="15374" max="15374" width="9.21875" style="124" bestFit="1" customWidth="1"/>
    <col min="15375" max="15375" width="16.5546875" style="124" customWidth="1"/>
    <col min="15376" max="15376" width="2.44140625" style="124" customWidth="1"/>
    <col min="15377" max="15377" width="8" style="124" customWidth="1"/>
    <col min="15378" max="15384" width="9.21875" style="124" customWidth="1"/>
    <col min="15385" max="15385" width="3.44140625" style="124" customWidth="1"/>
    <col min="15386" max="15616" width="9.21875" style="124" customWidth="1"/>
    <col min="15617" max="15617" width="1.21875" style="124" customWidth="1"/>
    <col min="15618" max="15618" width="12.21875" style="124"/>
    <col min="15619" max="15619" width="1.21875" style="124" customWidth="1"/>
    <col min="15620" max="15620" width="12.21875" style="124" customWidth="1"/>
    <col min="15621" max="15621" width="37.44140625" style="124" customWidth="1"/>
    <col min="15622" max="15624" width="13.5546875" style="124" customWidth="1"/>
    <col min="15625" max="15625" width="14.77734375" style="124" customWidth="1"/>
    <col min="15626" max="15626" width="1.44140625" style="124" customWidth="1"/>
    <col min="15627" max="15627" width="7.44140625" style="124" customWidth="1"/>
    <col min="15628" max="15628" width="9" style="124" customWidth="1"/>
    <col min="15629" max="15629" width="5.44140625" style="124" customWidth="1"/>
    <col min="15630" max="15630" width="9.21875" style="124" bestFit="1" customWidth="1"/>
    <col min="15631" max="15631" width="16.5546875" style="124" customWidth="1"/>
    <col min="15632" max="15632" width="2.44140625" style="124" customWidth="1"/>
    <col min="15633" max="15633" width="8" style="124" customWidth="1"/>
    <col min="15634" max="15640" width="9.21875" style="124" customWidth="1"/>
    <col min="15641" max="15641" width="3.44140625" style="124" customWidth="1"/>
    <col min="15642" max="15872" width="9.21875" style="124" customWidth="1"/>
    <col min="15873" max="15873" width="1.21875" style="124" customWidth="1"/>
    <col min="15874" max="15874" width="12.21875" style="124"/>
    <col min="15875" max="15875" width="1.21875" style="124" customWidth="1"/>
    <col min="15876" max="15876" width="12.21875" style="124" customWidth="1"/>
    <col min="15877" max="15877" width="37.44140625" style="124" customWidth="1"/>
    <col min="15878" max="15880" width="13.5546875" style="124" customWidth="1"/>
    <col min="15881" max="15881" width="14.77734375" style="124" customWidth="1"/>
    <col min="15882" max="15882" width="1.44140625" style="124" customWidth="1"/>
    <col min="15883" max="15883" width="7.44140625" style="124" customWidth="1"/>
    <col min="15884" max="15884" width="9" style="124" customWidth="1"/>
    <col min="15885" max="15885" width="5.44140625" style="124" customWidth="1"/>
    <col min="15886" max="15886" width="9.21875" style="124" bestFit="1" customWidth="1"/>
    <col min="15887" max="15887" width="16.5546875" style="124" customWidth="1"/>
    <col min="15888" max="15888" width="2.44140625" style="124" customWidth="1"/>
    <col min="15889" max="15889" width="8" style="124" customWidth="1"/>
    <col min="15890" max="15896" width="9.21875" style="124" customWidth="1"/>
    <col min="15897" max="15897" width="3.44140625" style="124" customWidth="1"/>
    <col min="15898" max="16128" width="9.21875" style="124" customWidth="1"/>
    <col min="16129" max="16129" width="1.21875" style="124" customWidth="1"/>
    <col min="16130" max="16130" width="12.21875" style="124"/>
    <col min="16131" max="16131" width="1.21875" style="124" customWidth="1"/>
    <col min="16132" max="16132" width="12.21875" style="124" customWidth="1"/>
    <col min="16133" max="16133" width="37.44140625" style="124" customWidth="1"/>
    <col min="16134" max="16136" width="13.5546875" style="124" customWidth="1"/>
    <col min="16137" max="16137" width="14.77734375" style="124" customWidth="1"/>
    <col min="16138" max="16138" width="1.44140625" style="124" customWidth="1"/>
    <col min="16139" max="16139" width="7.44140625" style="124" customWidth="1"/>
    <col min="16140" max="16140" width="9" style="124" customWidth="1"/>
    <col min="16141" max="16141" width="5.44140625" style="124" customWidth="1"/>
    <col min="16142" max="16142" width="9.21875" style="124" bestFit="1" customWidth="1"/>
    <col min="16143" max="16143" width="16.5546875" style="124" customWidth="1"/>
    <col min="16144" max="16144" width="2.44140625" style="124" customWidth="1"/>
    <col min="16145" max="16145" width="8" style="124" customWidth="1"/>
    <col min="16146" max="16152" width="9.21875" style="124" customWidth="1"/>
    <col min="16153" max="16153" width="3.44140625" style="124" customWidth="1"/>
    <col min="16154" max="16384" width="9.21875" style="124" customWidth="1"/>
  </cols>
  <sheetData>
    <row r="1" spans="1:17" ht="5.25" customHeight="1" x14ac:dyDescent="0.3">
      <c r="A1" s="645"/>
      <c r="B1" s="646"/>
      <c r="C1" s="646"/>
      <c r="D1" s="646"/>
      <c r="E1" s="646"/>
      <c r="F1" s="649"/>
      <c r="G1" s="649"/>
      <c r="H1" s="121"/>
      <c r="I1" s="122"/>
      <c r="J1" s="122"/>
      <c r="K1" s="122"/>
      <c r="L1" s="122"/>
      <c r="M1" s="122"/>
      <c r="N1" s="122"/>
      <c r="O1" s="122"/>
      <c r="P1" s="123"/>
      <c r="Q1" s="123"/>
    </row>
    <row r="2" spans="1:17" ht="14.4" x14ac:dyDescent="0.3">
      <c r="A2" s="647"/>
      <c r="B2" s="648"/>
      <c r="C2" s="648"/>
      <c r="D2" s="648"/>
      <c r="E2" s="648"/>
      <c r="F2" s="650"/>
      <c r="G2" s="650"/>
      <c r="H2" s="125"/>
      <c r="I2" s="123"/>
      <c r="J2" s="123"/>
      <c r="K2" s="123"/>
      <c r="L2" s="123"/>
      <c r="M2" s="123"/>
      <c r="N2" s="123"/>
      <c r="O2" s="123"/>
      <c r="P2" s="123"/>
      <c r="Q2" s="123"/>
    </row>
    <row r="3" spans="1:17" ht="16.5" customHeight="1" thickBot="1" x14ac:dyDescent="0.3">
      <c r="A3" s="126"/>
      <c r="B3" s="127"/>
      <c r="C3" s="127"/>
      <c r="D3" s="127"/>
      <c r="E3" s="127"/>
      <c r="F3" s="650"/>
      <c r="G3" s="651"/>
      <c r="H3" s="128"/>
      <c r="I3" s="129"/>
      <c r="J3" s="130"/>
      <c r="K3" s="130"/>
      <c r="L3" s="130"/>
      <c r="M3" s="130"/>
      <c r="N3" s="130"/>
      <c r="O3" s="123"/>
      <c r="P3" s="123"/>
      <c r="Q3" s="123"/>
    </row>
    <row r="4" spans="1:17" ht="15.6" x14ac:dyDescent="0.3">
      <c r="A4" s="131"/>
      <c r="B4" s="132"/>
      <c r="C4" s="612" t="s">
        <v>90</v>
      </c>
      <c r="D4" s="612"/>
      <c r="E4" s="652" t="s">
        <v>188</v>
      </c>
      <c r="F4" s="652"/>
      <c r="G4" s="652"/>
      <c r="H4" s="133" t="s">
        <v>91</v>
      </c>
      <c r="I4" s="132" t="s">
        <v>243</v>
      </c>
      <c r="J4" s="134"/>
      <c r="K4" s="612" t="s">
        <v>92</v>
      </c>
      <c r="L4" s="612"/>
      <c r="M4" s="612"/>
      <c r="N4" s="613">
        <v>45046</v>
      </c>
      <c r="O4" s="613"/>
      <c r="P4" s="123"/>
      <c r="Q4" s="123"/>
    </row>
    <row r="5" spans="1:17" ht="30" customHeight="1" x14ac:dyDescent="0.25">
      <c r="A5" s="614" t="s">
        <v>93</v>
      </c>
      <c r="B5" s="615"/>
      <c r="C5" s="615"/>
      <c r="D5" s="615"/>
      <c r="E5" s="615"/>
      <c r="F5" s="615"/>
      <c r="G5" s="615"/>
      <c r="H5" s="615"/>
      <c r="I5" s="615"/>
      <c r="J5" s="615"/>
      <c r="K5" s="615"/>
      <c r="L5" s="615"/>
      <c r="M5" s="615"/>
      <c r="N5" s="615"/>
      <c r="O5" s="615"/>
      <c r="Q5" s="123"/>
    </row>
    <row r="6" spans="1:17" ht="18.75" customHeight="1" thickBot="1" x14ac:dyDescent="0.3">
      <c r="A6" s="136"/>
      <c r="B6" s="137"/>
      <c r="C6" s="616" t="s">
        <v>94</v>
      </c>
      <c r="D6" s="616"/>
      <c r="E6" s="617">
        <f>N4</f>
        <v>45046</v>
      </c>
      <c r="F6" s="618"/>
      <c r="G6" s="619" t="s">
        <v>95</v>
      </c>
      <c r="H6" s="620"/>
      <c r="I6" s="610" t="s">
        <v>203</v>
      </c>
      <c r="J6" s="611"/>
      <c r="K6" s="621"/>
      <c r="L6" s="619" t="s">
        <v>96</v>
      </c>
      <c r="M6" s="620"/>
      <c r="N6" s="622" t="s">
        <v>97</v>
      </c>
      <c r="O6" s="623"/>
      <c r="P6" s="123"/>
      <c r="Q6" s="123"/>
    </row>
    <row r="7" spans="1:17" ht="18.75" customHeight="1" thickBot="1" x14ac:dyDescent="0.3">
      <c r="A7" s="138"/>
      <c r="B7" s="139"/>
      <c r="C7" s="604" t="s">
        <v>98</v>
      </c>
      <c r="D7" s="605"/>
      <c r="E7" s="653" t="s">
        <v>1</v>
      </c>
      <c r="F7" s="654"/>
      <c r="G7" s="604" t="s">
        <v>99</v>
      </c>
      <c r="H7" s="606"/>
      <c r="I7" s="610" t="s">
        <v>208</v>
      </c>
      <c r="J7" s="611"/>
      <c r="K7" s="621"/>
      <c r="L7" s="604" t="s">
        <v>100</v>
      </c>
      <c r="M7" s="605"/>
      <c r="N7" s="610" t="s">
        <v>101</v>
      </c>
      <c r="O7" s="611"/>
      <c r="P7" s="123"/>
      <c r="Q7" s="123"/>
    </row>
    <row r="8" spans="1:17" ht="21.6" thickBot="1" x14ac:dyDescent="0.3">
      <c r="A8" s="140"/>
      <c r="B8" s="141"/>
      <c r="C8" s="604" t="s">
        <v>102</v>
      </c>
      <c r="D8" s="605"/>
      <c r="E8" s="142" t="s">
        <v>6</v>
      </c>
      <c r="F8" s="604" t="s">
        <v>103</v>
      </c>
      <c r="G8" s="605"/>
      <c r="H8" s="606"/>
      <c r="I8" s="607" t="s">
        <v>263</v>
      </c>
      <c r="J8" s="608"/>
      <c r="K8" s="609"/>
      <c r="L8" s="624" t="s">
        <v>104</v>
      </c>
      <c r="M8" s="625"/>
      <c r="N8" s="610" t="str">
        <f>I4</f>
        <v>DST 2</v>
      </c>
      <c r="O8" s="611"/>
      <c r="P8" s="123"/>
      <c r="Q8" s="123"/>
    </row>
    <row r="9" spans="1:17" s="253" customFormat="1" ht="30" customHeight="1" thickBot="1" x14ac:dyDescent="0.3">
      <c r="A9" s="143"/>
      <c r="B9" s="626" t="s">
        <v>105</v>
      </c>
      <c r="C9" s="627"/>
      <c r="D9" s="628"/>
      <c r="E9" s="250" t="s">
        <v>183</v>
      </c>
      <c r="F9" s="626" t="s">
        <v>106</v>
      </c>
      <c r="G9" s="627"/>
      <c r="H9" s="628"/>
      <c r="I9" s="251" t="s">
        <v>244</v>
      </c>
      <c r="J9" s="144"/>
      <c r="K9" s="626" t="s">
        <v>107</v>
      </c>
      <c r="L9" s="627"/>
      <c r="M9" s="627"/>
      <c r="N9" s="629" t="s">
        <v>205</v>
      </c>
      <c r="O9" s="630"/>
      <c r="P9" s="252"/>
      <c r="Q9" s="252"/>
    </row>
    <row r="10" spans="1:17" ht="15.75" customHeight="1" x14ac:dyDescent="0.25">
      <c r="A10" s="145"/>
      <c r="B10" s="616"/>
      <c r="C10" s="616"/>
      <c r="D10" s="638"/>
      <c r="E10" s="146"/>
      <c r="F10" s="639"/>
      <c r="G10" s="640"/>
      <c r="H10" s="641"/>
      <c r="I10" s="147"/>
      <c r="J10" s="148"/>
      <c r="K10" s="632"/>
      <c r="L10" s="633"/>
      <c r="M10" s="634"/>
      <c r="N10" s="149"/>
      <c r="O10" s="150"/>
      <c r="P10" s="123"/>
      <c r="Q10" s="123"/>
    </row>
    <row r="11" spans="1:17" ht="18.75" customHeight="1" x14ac:dyDescent="0.25">
      <c r="A11" s="635"/>
      <c r="B11" s="635"/>
      <c r="C11" s="635"/>
      <c r="D11" s="636" t="s">
        <v>108</v>
      </c>
      <c r="E11" s="636"/>
      <c r="F11" s="637" t="s">
        <v>246</v>
      </c>
      <c r="G11" s="637"/>
      <c r="H11" s="631"/>
      <c r="I11" s="631"/>
      <c r="J11" s="631"/>
      <c r="K11" s="631"/>
      <c r="L11" s="267"/>
      <c r="M11" s="267"/>
      <c r="N11" s="151"/>
      <c r="O11" s="151"/>
      <c r="P11" s="123"/>
      <c r="Q11" s="123"/>
    </row>
    <row r="12" spans="1:17" ht="18" customHeight="1" x14ac:dyDescent="0.25">
      <c r="A12" s="635"/>
      <c r="B12" s="635"/>
      <c r="C12" s="635"/>
      <c r="D12" s="636"/>
      <c r="E12" s="636"/>
      <c r="F12" s="637"/>
      <c r="G12" s="637"/>
      <c r="H12" s="631"/>
      <c r="I12" s="631"/>
      <c r="J12" s="631"/>
      <c r="K12" s="631"/>
      <c r="L12" s="267"/>
      <c r="M12" s="267"/>
      <c r="N12" s="151"/>
      <c r="O12" s="151"/>
      <c r="P12" s="123"/>
      <c r="Q12" s="123"/>
    </row>
    <row r="13" spans="1:17" ht="15.75" customHeight="1" x14ac:dyDescent="0.25">
      <c r="A13" s="152"/>
      <c r="B13" s="152"/>
      <c r="C13" s="152"/>
      <c r="D13" s="152"/>
      <c r="E13" s="152"/>
      <c r="F13" s="152"/>
      <c r="G13" s="153"/>
      <c r="H13" s="154"/>
      <c r="I13" s="153"/>
      <c r="J13" s="123"/>
      <c r="K13" s="123"/>
      <c r="L13" s="123"/>
      <c r="M13" s="123"/>
      <c r="N13" s="123"/>
      <c r="O13" s="123"/>
      <c r="P13" s="123"/>
      <c r="Q13" s="123"/>
    </row>
    <row r="14" spans="1:17" s="135" customFormat="1" ht="18" customHeight="1" x14ac:dyDescent="0.25">
      <c r="A14" s="569" t="s">
        <v>109</v>
      </c>
      <c r="B14" s="569"/>
      <c r="C14" s="569"/>
      <c r="D14" s="569"/>
      <c r="E14" s="569"/>
      <c r="F14" s="569"/>
      <c r="G14" s="569"/>
      <c r="H14" s="569"/>
      <c r="I14" s="569"/>
      <c r="J14" s="155"/>
      <c r="K14" s="156" t="s">
        <v>110</v>
      </c>
      <c r="L14" s="157"/>
      <c r="M14" s="158"/>
      <c r="N14" s="158"/>
      <c r="O14" s="159"/>
      <c r="P14" s="160"/>
      <c r="Q14" s="160"/>
    </row>
    <row r="15" spans="1:17" s="135" customFormat="1" ht="16.05" customHeight="1" x14ac:dyDescent="0.25">
      <c r="A15" s="152"/>
      <c r="B15" s="561"/>
      <c r="C15" s="155"/>
      <c r="D15" s="155"/>
      <c r="E15" s="161" t="s">
        <v>111</v>
      </c>
      <c r="F15" s="570">
        <v>17.2</v>
      </c>
      <c r="G15" s="570"/>
      <c r="H15" s="302"/>
      <c r="I15" s="348"/>
      <c r="J15" s="162"/>
      <c r="K15" s="578"/>
      <c r="L15" s="578"/>
      <c r="M15" s="578"/>
      <c r="N15" s="578"/>
      <c r="O15" s="578"/>
      <c r="P15" s="162"/>
    </row>
    <row r="16" spans="1:17" s="135" customFormat="1" ht="16.05" customHeight="1" x14ac:dyDescent="0.25">
      <c r="A16" s="152"/>
      <c r="B16" s="561"/>
      <c r="C16" s="163"/>
      <c r="D16" s="163"/>
      <c r="E16" s="164" t="s">
        <v>112</v>
      </c>
      <c r="F16" s="574">
        <f>'DST-2 -XHP Packer'!R45</f>
        <v>3694.1339999999996</v>
      </c>
      <c r="G16" s="574"/>
      <c r="H16" s="303"/>
      <c r="I16" s="349"/>
      <c r="J16" s="162"/>
      <c r="K16" s="578"/>
      <c r="L16" s="578"/>
      <c r="M16" s="578"/>
      <c r="N16" s="578"/>
      <c r="O16" s="578"/>
      <c r="P16" s="162"/>
    </row>
    <row r="17" spans="1:17" s="135" customFormat="1" ht="16.05" customHeight="1" x14ac:dyDescent="0.25">
      <c r="A17" s="152"/>
      <c r="B17" s="561"/>
      <c r="C17" s="155"/>
      <c r="D17" s="155"/>
      <c r="E17" s="165" t="s">
        <v>113</v>
      </c>
      <c r="F17" s="561">
        <f>F16*3.281*F15*0.052</f>
        <v>10840.533748137597</v>
      </c>
      <c r="G17" s="561"/>
      <c r="H17" s="347"/>
      <c r="I17" s="347"/>
      <c r="J17" s="162"/>
      <c r="K17" s="578"/>
      <c r="L17" s="578"/>
      <c r="M17" s="578"/>
      <c r="N17" s="578"/>
      <c r="O17" s="578"/>
      <c r="P17" s="162"/>
    </row>
    <row r="18" spans="1:17" s="135" customFormat="1" ht="16.05" customHeight="1" x14ac:dyDescent="0.3">
      <c r="A18" s="152"/>
      <c r="B18" s="561"/>
      <c r="C18" s="163"/>
      <c r="D18" s="163"/>
      <c r="E18" s="164" t="s">
        <v>114</v>
      </c>
      <c r="F18" s="580" t="s">
        <v>240</v>
      </c>
      <c r="G18" s="580"/>
      <c r="H18" s="303"/>
      <c r="I18" s="349"/>
      <c r="J18" s="162"/>
      <c r="K18" s="578"/>
      <c r="L18" s="578"/>
      <c r="M18" s="578"/>
      <c r="N18" s="578"/>
      <c r="O18" s="578"/>
      <c r="P18" s="162"/>
    </row>
    <row r="19" spans="1:17" s="135" customFormat="1" ht="16.05" customHeight="1" x14ac:dyDescent="0.25">
      <c r="A19" s="152"/>
      <c r="B19" s="561"/>
      <c r="C19" s="155"/>
      <c r="D19" s="155"/>
      <c r="E19" s="166" t="s">
        <v>115</v>
      </c>
      <c r="F19" s="561">
        <v>14900</v>
      </c>
      <c r="G19" s="561"/>
      <c r="H19" s="318"/>
      <c r="I19" s="318"/>
      <c r="J19" s="162"/>
      <c r="K19" s="578"/>
      <c r="L19" s="578"/>
      <c r="M19" s="578"/>
      <c r="N19" s="578"/>
      <c r="O19" s="578"/>
      <c r="P19" s="162"/>
    </row>
    <row r="20" spans="1:17" s="135" customFormat="1" ht="16.05" customHeight="1" x14ac:dyDescent="0.3">
      <c r="A20" s="152"/>
      <c r="B20" s="561"/>
      <c r="C20" s="163"/>
      <c r="D20" s="163"/>
      <c r="E20" s="167" t="s">
        <v>116</v>
      </c>
      <c r="F20" s="568">
        <f>F19-F17</f>
        <v>4059.4662518624027</v>
      </c>
      <c r="G20" s="568"/>
      <c r="H20" s="568"/>
      <c r="I20" s="568"/>
      <c r="J20" s="162"/>
      <c r="K20" s="578"/>
      <c r="L20" s="578"/>
      <c r="M20" s="578"/>
      <c r="N20" s="578"/>
      <c r="O20" s="578"/>
      <c r="P20" s="162"/>
    </row>
    <row r="21" spans="1:17" s="135" customFormat="1" ht="16.05" customHeight="1" x14ac:dyDescent="0.25">
      <c r="A21" s="152"/>
      <c r="B21" s="561"/>
      <c r="C21" s="155"/>
      <c r="D21" s="155"/>
      <c r="E21" s="165" t="s">
        <v>117</v>
      </c>
      <c r="F21" s="168">
        <f>F19+(F19*0.02)-F17</f>
        <v>4357.4662518624027</v>
      </c>
      <c r="G21" s="169">
        <f>F19-(F19*0.02)-F17</f>
        <v>3761.4662518624027</v>
      </c>
      <c r="H21" s="168"/>
      <c r="I21" s="169"/>
      <c r="J21" s="162"/>
      <c r="K21" s="578"/>
      <c r="L21" s="578"/>
      <c r="M21" s="578"/>
      <c r="N21" s="578"/>
      <c r="O21" s="578"/>
      <c r="P21" s="162"/>
    </row>
    <row r="22" spans="1:17" s="135" customFormat="1" ht="3.75" customHeight="1" x14ac:dyDescent="0.25">
      <c r="A22" s="152"/>
      <c r="B22" s="170"/>
      <c r="C22" s="155"/>
      <c r="D22" s="155"/>
      <c r="E22" s="165"/>
      <c r="F22" s="171"/>
      <c r="G22" s="169"/>
      <c r="H22" s="172"/>
      <c r="I22" s="172"/>
      <c r="J22" s="162"/>
      <c r="K22" s="173"/>
      <c r="L22" s="173"/>
      <c r="M22" s="173"/>
      <c r="N22" s="173"/>
      <c r="O22" s="173"/>
      <c r="P22" s="162"/>
    </row>
    <row r="23" spans="1:17" s="135" customFormat="1" ht="4.5" customHeight="1" x14ac:dyDescent="0.3">
      <c r="A23" s="174"/>
      <c r="B23" s="175"/>
      <c r="C23" s="175"/>
      <c r="D23" s="175"/>
      <c r="E23" s="170"/>
      <c r="F23" s="170"/>
      <c r="G23" s="170"/>
      <c r="H23" s="170"/>
      <c r="I23" s="170"/>
      <c r="J23" s="162"/>
      <c r="M23" s="162"/>
      <c r="P23" s="162"/>
    </row>
    <row r="24" spans="1:17" ht="15.75" hidden="1" customHeight="1" x14ac:dyDescent="0.3">
      <c r="A24" s="176"/>
      <c r="B24" s="177"/>
      <c r="C24" s="177"/>
      <c r="D24" s="177"/>
      <c r="E24" s="178" t="s">
        <v>118</v>
      </c>
      <c r="F24" s="179"/>
      <c r="G24" s="179"/>
      <c r="H24" s="179"/>
      <c r="I24" s="179"/>
      <c r="J24" s="162"/>
      <c r="K24" s="124"/>
      <c r="L24" s="124"/>
      <c r="M24" s="162"/>
      <c r="N24" s="124"/>
      <c r="O24" s="124"/>
      <c r="P24" s="162"/>
      <c r="Q24" s="124"/>
    </row>
    <row r="25" spans="1:17" ht="6" hidden="1" customHeight="1" x14ac:dyDescent="0.25">
      <c r="A25" s="180"/>
      <c r="B25" s="152"/>
      <c r="C25" s="152"/>
      <c r="D25" s="152"/>
      <c r="E25" s="152"/>
      <c r="F25" s="152"/>
      <c r="G25" s="153"/>
      <c r="H25" s="152"/>
      <c r="I25" s="153"/>
      <c r="J25" s="162"/>
      <c r="K25" s="124"/>
      <c r="L25" s="124"/>
      <c r="M25" s="162"/>
      <c r="N25" s="124"/>
      <c r="O25" s="124"/>
      <c r="P25" s="162"/>
      <c r="Q25" s="124"/>
    </row>
    <row r="26" spans="1:17" ht="12.75" hidden="1" customHeight="1" x14ac:dyDescent="0.25">
      <c r="A26" s="180"/>
      <c r="B26" s="586"/>
      <c r="C26" s="181"/>
      <c r="D26" s="181"/>
      <c r="E26" s="182" t="s">
        <v>119</v>
      </c>
      <c r="F26" s="589">
        <v>380</v>
      </c>
      <c r="G26" s="589"/>
      <c r="H26" s="589">
        <v>380</v>
      </c>
      <c r="I26" s="589"/>
      <c r="J26" s="162"/>
      <c r="K26" s="124"/>
      <c r="L26" s="124"/>
      <c r="M26" s="162"/>
      <c r="N26" s="124"/>
      <c r="O26" s="124"/>
      <c r="P26" s="162"/>
      <c r="Q26" s="124"/>
    </row>
    <row r="27" spans="1:17" ht="18" hidden="1" customHeight="1" x14ac:dyDescent="0.25">
      <c r="A27" s="180"/>
      <c r="B27" s="587"/>
      <c r="C27" s="183"/>
      <c r="D27" s="183"/>
      <c r="E27" s="182" t="s">
        <v>120</v>
      </c>
      <c r="F27" s="590">
        <v>15.7</v>
      </c>
      <c r="G27" s="590"/>
      <c r="H27" s="590">
        <v>15.7</v>
      </c>
      <c r="I27" s="590"/>
      <c r="J27" s="162"/>
      <c r="K27" s="124"/>
      <c r="L27" s="124"/>
      <c r="M27" s="162"/>
      <c r="N27" s="124"/>
      <c r="O27" s="124"/>
      <c r="P27" s="162"/>
      <c r="Q27" s="124"/>
    </row>
    <row r="28" spans="1:17" ht="12.75" hidden="1" customHeight="1" x14ac:dyDescent="0.25">
      <c r="A28" s="180"/>
      <c r="B28" s="587"/>
      <c r="C28" s="183"/>
      <c r="D28" s="183"/>
      <c r="E28" s="182" t="s">
        <v>121</v>
      </c>
      <c r="F28" s="589">
        <v>4360.38</v>
      </c>
      <c r="G28" s="589"/>
      <c r="H28" s="589">
        <v>4360.38</v>
      </c>
      <c r="I28" s="589"/>
      <c r="J28" s="162"/>
      <c r="K28" s="124"/>
      <c r="L28" s="124"/>
      <c r="M28" s="162"/>
      <c r="N28" s="124"/>
      <c r="O28" s="124"/>
      <c r="P28" s="162"/>
      <c r="Q28" s="124"/>
    </row>
    <row r="29" spans="1:17" ht="18" hidden="1" customHeight="1" x14ac:dyDescent="0.25">
      <c r="A29" s="180"/>
      <c r="B29" s="587"/>
      <c r="C29" s="183"/>
      <c r="D29" s="183"/>
      <c r="E29" s="184" t="s">
        <v>122</v>
      </c>
      <c r="F29" s="589">
        <f>F28*3.281*F27*0.052</f>
        <v>11679.750495192</v>
      </c>
      <c r="G29" s="589"/>
      <c r="H29" s="589">
        <f>H28*3.281*H27*0.052</f>
        <v>11679.750495192</v>
      </c>
      <c r="I29" s="589"/>
      <c r="J29" s="162"/>
      <c r="K29" s="124"/>
      <c r="L29" s="124"/>
      <c r="M29" s="162"/>
      <c r="N29" s="124"/>
      <c r="O29" s="124"/>
      <c r="P29" s="162"/>
      <c r="Q29" s="124"/>
    </row>
    <row r="30" spans="1:17" ht="18.75" hidden="1" customHeight="1" x14ac:dyDescent="0.3">
      <c r="A30" s="180"/>
      <c r="B30" s="587"/>
      <c r="C30" s="183"/>
      <c r="D30" s="183"/>
      <c r="E30" s="182" t="s">
        <v>123</v>
      </c>
      <c r="F30" s="643">
        <v>13.5</v>
      </c>
      <c r="G30" s="644"/>
      <c r="H30" s="643">
        <v>13.5</v>
      </c>
      <c r="I30" s="644"/>
      <c r="J30" s="162"/>
      <c r="K30" s="124"/>
      <c r="L30" s="124"/>
      <c r="M30" s="162"/>
      <c r="N30" s="124"/>
      <c r="O30" s="124"/>
      <c r="P30" s="162"/>
      <c r="Q30" s="124"/>
    </row>
    <row r="31" spans="1:17" ht="12.75" hidden="1" customHeight="1" x14ac:dyDescent="0.25">
      <c r="A31" s="180"/>
      <c r="B31" s="587"/>
      <c r="C31" s="183"/>
      <c r="D31" s="183"/>
      <c r="E31" s="182" t="s">
        <v>124</v>
      </c>
      <c r="F31" s="589">
        <v>13100</v>
      </c>
      <c r="G31" s="589"/>
      <c r="H31" s="589">
        <v>13100</v>
      </c>
      <c r="I31" s="589"/>
      <c r="J31" s="162"/>
      <c r="K31" s="124"/>
      <c r="L31" s="124"/>
      <c r="M31" s="162"/>
      <c r="N31" s="124"/>
      <c r="O31" s="124"/>
      <c r="P31" s="162"/>
      <c r="Q31" s="124"/>
    </row>
    <row r="32" spans="1:17" ht="18" hidden="1" customHeight="1" x14ac:dyDescent="0.3">
      <c r="A32" s="180"/>
      <c r="B32" s="587"/>
      <c r="C32" s="183"/>
      <c r="D32" s="183"/>
      <c r="E32" s="185" t="s">
        <v>125</v>
      </c>
      <c r="F32" s="596">
        <f>F31-F29</f>
        <v>1420.249504808</v>
      </c>
      <c r="G32" s="596"/>
      <c r="H32" s="596">
        <f>H31-H29</f>
        <v>1420.249504808</v>
      </c>
      <c r="I32" s="596"/>
      <c r="J32" s="162"/>
      <c r="K32" s="124"/>
      <c r="L32" s="124"/>
      <c r="M32" s="162"/>
      <c r="N32" s="124"/>
      <c r="O32" s="124"/>
      <c r="P32" s="162"/>
      <c r="Q32" s="124"/>
    </row>
    <row r="33" spans="1:17" ht="15.75" hidden="1" customHeight="1" x14ac:dyDescent="0.25">
      <c r="A33" s="180"/>
      <c r="B33" s="588"/>
      <c r="C33" s="186"/>
      <c r="D33" s="186"/>
      <c r="E33" s="187" t="s">
        <v>126</v>
      </c>
      <c r="F33" s="188">
        <f>F31+(F31*0.02)-F29</f>
        <v>1682.249504808</v>
      </c>
      <c r="G33" s="188">
        <f>F31-(F31*0.02)-F29</f>
        <v>1158.249504808</v>
      </c>
      <c r="H33" s="188">
        <f>H31+(H31*0.02)-H29</f>
        <v>1682.249504808</v>
      </c>
      <c r="I33" s="188">
        <f>H31-(H31*0.02)-H29</f>
        <v>1158.249504808</v>
      </c>
      <c r="J33" s="162"/>
      <c r="K33" s="124"/>
      <c r="L33" s="124"/>
      <c r="M33" s="162"/>
      <c r="N33" s="124"/>
      <c r="O33" s="124"/>
      <c r="P33" s="162"/>
      <c r="Q33" s="124"/>
    </row>
    <row r="34" spans="1:17" ht="5.25" hidden="1" customHeight="1" x14ac:dyDescent="0.3">
      <c r="A34" s="189"/>
      <c r="B34" s="175"/>
      <c r="C34" s="175"/>
      <c r="D34" s="175"/>
      <c r="E34" s="170"/>
      <c r="F34" s="170"/>
      <c r="G34" s="170"/>
      <c r="H34" s="170"/>
      <c r="I34" s="170"/>
      <c r="J34" s="162"/>
      <c r="K34" s="124"/>
      <c r="L34" s="124"/>
      <c r="M34" s="162"/>
      <c r="N34" s="124"/>
      <c r="O34" s="124"/>
      <c r="P34" s="162"/>
      <c r="Q34" s="124"/>
    </row>
    <row r="35" spans="1:17" ht="18.75" customHeight="1" x14ac:dyDescent="0.25">
      <c r="A35" s="583" t="s">
        <v>127</v>
      </c>
      <c r="B35" s="583"/>
      <c r="C35" s="583"/>
      <c r="D35" s="583"/>
      <c r="E35" s="583"/>
      <c r="F35" s="583"/>
      <c r="G35" s="583"/>
      <c r="H35" s="583"/>
      <c r="I35" s="642"/>
      <c r="J35" s="162"/>
      <c r="K35" s="156" t="s">
        <v>110</v>
      </c>
      <c r="L35" s="158"/>
      <c r="M35" s="158"/>
      <c r="N35" s="158"/>
      <c r="O35" s="159"/>
      <c r="P35" s="162"/>
      <c r="Q35" s="124"/>
    </row>
    <row r="36" spans="1:17" s="135" customFormat="1" ht="16.05" customHeight="1" x14ac:dyDescent="0.25">
      <c r="A36" s="152"/>
      <c r="B36" s="561"/>
      <c r="C36" s="599" t="s">
        <v>128</v>
      </c>
      <c r="D36" s="599"/>
      <c r="E36" s="599"/>
      <c r="F36" s="570">
        <v>17.2</v>
      </c>
      <c r="G36" s="570"/>
      <c r="H36" s="570"/>
      <c r="I36" s="570"/>
      <c r="J36" s="162"/>
      <c r="K36" s="577" t="s">
        <v>248</v>
      </c>
      <c r="L36" s="578"/>
      <c r="M36" s="578"/>
      <c r="N36" s="578"/>
      <c r="O36" s="578"/>
      <c r="P36" s="162"/>
      <c r="Q36" s="162"/>
    </row>
    <row r="37" spans="1:17" s="135" customFormat="1" ht="16.05" customHeight="1" x14ac:dyDescent="0.25">
      <c r="A37" s="152"/>
      <c r="B37" s="561"/>
      <c r="C37" s="597" t="s">
        <v>121</v>
      </c>
      <c r="D37" s="597"/>
      <c r="E37" s="597"/>
      <c r="F37" s="574">
        <f>'DST-2 -XHP Packer'!R48</f>
        <v>3705.4119999999994</v>
      </c>
      <c r="G37" s="574"/>
      <c r="H37" s="574"/>
      <c r="I37" s="574"/>
      <c r="J37" s="162"/>
      <c r="K37" s="578"/>
      <c r="L37" s="578"/>
      <c r="M37" s="578"/>
      <c r="N37" s="578"/>
      <c r="O37" s="578"/>
      <c r="P37" s="162"/>
      <c r="Q37" s="162"/>
    </row>
    <row r="38" spans="1:17" s="135" customFormat="1" ht="16.05" customHeight="1" x14ac:dyDescent="0.25">
      <c r="A38" s="152"/>
      <c r="B38" s="561"/>
      <c r="C38" s="585" t="s">
        <v>122</v>
      </c>
      <c r="D38" s="585"/>
      <c r="E38" s="585"/>
      <c r="F38" s="561">
        <f>F37*3.281*F36*0.052</f>
        <v>10873.629336876797</v>
      </c>
      <c r="G38" s="561"/>
      <c r="H38" s="561"/>
      <c r="I38" s="561"/>
      <c r="J38" s="162"/>
      <c r="K38" s="578"/>
      <c r="L38" s="578"/>
      <c r="M38" s="578"/>
      <c r="N38" s="578"/>
      <c r="O38" s="578"/>
      <c r="P38" s="162"/>
      <c r="Q38" s="162"/>
    </row>
    <row r="39" spans="1:17" s="135" customFormat="1" ht="16.05" customHeight="1" x14ac:dyDescent="0.25">
      <c r="A39" s="152"/>
      <c r="B39" s="561"/>
      <c r="C39" s="597" t="s">
        <v>129</v>
      </c>
      <c r="D39" s="597"/>
      <c r="E39" s="597"/>
      <c r="F39" s="574">
        <v>5900</v>
      </c>
      <c r="G39" s="574"/>
      <c r="H39" s="574"/>
      <c r="I39" s="574"/>
      <c r="J39" s="162"/>
      <c r="K39" s="578"/>
      <c r="L39" s="578"/>
      <c r="M39" s="578"/>
      <c r="N39" s="578"/>
      <c r="O39" s="578"/>
      <c r="P39" s="162"/>
      <c r="Q39" s="162"/>
    </row>
    <row r="40" spans="1:17" s="135" customFormat="1" ht="16.05" customHeight="1" x14ac:dyDescent="0.25">
      <c r="A40" s="152"/>
      <c r="B40" s="561"/>
      <c r="C40" s="598" t="s">
        <v>130</v>
      </c>
      <c r="D40" s="598"/>
      <c r="E40" s="598"/>
      <c r="F40" s="600" t="s">
        <v>247</v>
      </c>
      <c r="G40" s="600"/>
      <c r="H40" s="600"/>
      <c r="I40" s="600"/>
      <c r="J40" s="162"/>
      <c r="K40" s="578"/>
      <c r="L40" s="578"/>
      <c r="M40" s="578"/>
      <c r="N40" s="578"/>
      <c r="O40" s="578"/>
      <c r="P40" s="162"/>
      <c r="Q40" s="162"/>
    </row>
    <row r="41" spans="1:17" s="135" customFormat="1" ht="16.05" customHeight="1" x14ac:dyDescent="0.3">
      <c r="A41" s="152"/>
      <c r="B41" s="561"/>
      <c r="C41" s="601" t="s">
        <v>125</v>
      </c>
      <c r="D41" s="601"/>
      <c r="E41" s="601"/>
      <c r="F41" s="568">
        <v>1400</v>
      </c>
      <c r="G41" s="568"/>
      <c r="H41" s="568"/>
      <c r="I41" s="568"/>
      <c r="J41" s="162"/>
      <c r="K41" s="578"/>
      <c r="L41" s="578"/>
      <c r="M41" s="578"/>
      <c r="N41" s="578"/>
      <c r="O41" s="578"/>
      <c r="P41" s="162"/>
      <c r="Q41" s="162"/>
    </row>
    <row r="42" spans="1:17" s="135" customFormat="1" ht="16.05" customHeight="1" x14ac:dyDescent="0.25">
      <c r="A42" s="152"/>
      <c r="B42" s="561"/>
      <c r="C42" s="585" t="s">
        <v>131</v>
      </c>
      <c r="D42" s="585"/>
      <c r="E42" s="585"/>
      <c r="F42" s="190">
        <v>2.5</v>
      </c>
      <c r="G42" s="602" t="s">
        <v>132</v>
      </c>
      <c r="H42" s="603"/>
      <c r="I42" s="172"/>
      <c r="J42" s="162"/>
      <c r="K42" s="156"/>
      <c r="L42" s="158"/>
      <c r="M42" s="158"/>
      <c r="N42" s="158"/>
      <c r="O42" s="159"/>
      <c r="P42" s="162"/>
      <c r="Q42" s="162"/>
    </row>
    <row r="43" spans="1:17" s="135" customFormat="1" ht="6.75" customHeight="1" x14ac:dyDescent="0.3">
      <c r="A43" s="174"/>
      <c r="B43" s="175"/>
      <c r="C43" s="175"/>
      <c r="D43" s="175"/>
      <c r="E43" s="170"/>
      <c r="F43" s="170"/>
      <c r="G43" s="170"/>
      <c r="H43" s="170"/>
      <c r="I43" s="170"/>
      <c r="J43" s="585"/>
      <c r="K43" s="585"/>
      <c r="L43" s="191"/>
      <c r="M43" s="152"/>
      <c r="N43" s="152"/>
      <c r="O43" s="192"/>
      <c r="P43" s="192"/>
      <c r="Q43" s="192"/>
    </row>
    <row r="44" spans="1:17" ht="15.75" hidden="1" customHeight="1" x14ac:dyDescent="0.3">
      <c r="A44" s="176"/>
      <c r="B44" s="177"/>
      <c r="C44" s="177"/>
      <c r="D44" s="177"/>
      <c r="E44" s="178" t="s">
        <v>133</v>
      </c>
      <c r="F44" s="179"/>
      <c r="G44" s="179"/>
      <c r="H44" s="179"/>
      <c r="I44" s="179"/>
      <c r="J44" s="155"/>
      <c r="K44" s="155"/>
      <c r="L44" s="191"/>
      <c r="M44" s="152"/>
      <c r="N44" s="152"/>
      <c r="O44" s="192"/>
      <c r="P44" s="192"/>
      <c r="Q44" s="192"/>
    </row>
    <row r="45" spans="1:17" ht="18" hidden="1" customHeight="1" x14ac:dyDescent="0.25">
      <c r="A45" s="180"/>
      <c r="B45" s="152"/>
      <c r="C45" s="152"/>
      <c r="D45" s="152"/>
      <c r="E45" s="152"/>
      <c r="F45" s="152"/>
      <c r="G45" s="153"/>
      <c r="H45" s="152"/>
      <c r="I45" s="153"/>
      <c r="J45" s="161"/>
      <c r="K45" s="161"/>
      <c r="L45" s="193"/>
      <c r="M45" s="193"/>
      <c r="N45" s="152"/>
      <c r="O45" s="194"/>
      <c r="P45" s="562"/>
      <c r="Q45" s="562"/>
    </row>
    <row r="46" spans="1:17" ht="12.75" hidden="1" customHeight="1" x14ac:dyDescent="0.25">
      <c r="A46" s="180"/>
      <c r="B46" s="586"/>
      <c r="C46" s="181"/>
      <c r="D46" s="181"/>
      <c r="E46" s="182" t="s">
        <v>119</v>
      </c>
      <c r="F46" s="589">
        <v>382</v>
      </c>
      <c r="G46" s="589"/>
      <c r="H46" s="589">
        <v>382</v>
      </c>
      <c r="I46" s="589"/>
      <c r="J46" s="195"/>
      <c r="K46" s="195"/>
      <c r="L46" s="193"/>
      <c r="M46" s="193"/>
      <c r="N46" s="152"/>
    </row>
    <row r="47" spans="1:17" ht="12.75" hidden="1" customHeight="1" x14ac:dyDescent="0.25">
      <c r="A47" s="180"/>
      <c r="B47" s="587"/>
      <c r="C47" s="183"/>
      <c r="D47" s="183"/>
      <c r="E47" s="182" t="s">
        <v>120</v>
      </c>
      <c r="F47" s="590">
        <v>15.3</v>
      </c>
      <c r="G47" s="590"/>
      <c r="H47" s="590">
        <v>15.3</v>
      </c>
      <c r="I47" s="590"/>
      <c r="J47" s="152"/>
      <c r="K47" s="152"/>
      <c r="L47" s="152"/>
      <c r="M47" s="152"/>
      <c r="N47" s="152"/>
    </row>
    <row r="48" spans="1:17" ht="12.75" hidden="1" customHeight="1" x14ac:dyDescent="0.25">
      <c r="A48" s="180"/>
      <c r="B48" s="587"/>
      <c r="C48" s="183"/>
      <c r="D48" s="183"/>
      <c r="E48" s="182" t="s">
        <v>121</v>
      </c>
      <c r="F48" s="589">
        <v>4999</v>
      </c>
      <c r="G48" s="589"/>
      <c r="H48" s="589">
        <v>4999</v>
      </c>
      <c r="I48" s="589"/>
      <c r="J48" s="152"/>
      <c r="K48" s="152"/>
      <c r="L48" s="152"/>
      <c r="M48" s="152"/>
      <c r="N48" s="152"/>
      <c r="O48" s="152"/>
      <c r="P48" s="152"/>
      <c r="Q48" s="152"/>
    </row>
    <row r="49" spans="1:17" ht="18" hidden="1" customHeight="1" x14ac:dyDescent="0.3">
      <c r="A49" s="180"/>
      <c r="B49" s="587"/>
      <c r="C49" s="183"/>
      <c r="D49" s="183"/>
      <c r="E49" s="184" t="s">
        <v>122</v>
      </c>
      <c r="F49" s="589">
        <f>F48*3.281*F47*0.052</f>
        <v>13049.2076364</v>
      </c>
      <c r="G49" s="589"/>
      <c r="H49" s="589">
        <f>H48*3.281*H47*0.052</f>
        <v>13049.2076364</v>
      </c>
      <c r="I49" s="589"/>
      <c r="J49" s="595"/>
      <c r="K49" s="595"/>
      <c r="L49" s="595"/>
      <c r="M49" s="196"/>
      <c r="N49" s="196"/>
      <c r="O49" s="196"/>
      <c r="P49" s="152"/>
      <c r="Q49" s="197"/>
    </row>
    <row r="50" spans="1:17" ht="12.75" hidden="1" customHeight="1" x14ac:dyDescent="0.25">
      <c r="A50" s="180"/>
      <c r="B50" s="587"/>
      <c r="C50" s="183"/>
      <c r="D50" s="183"/>
      <c r="E50" s="182" t="s">
        <v>129</v>
      </c>
      <c r="F50" s="589">
        <v>6217</v>
      </c>
      <c r="G50" s="589"/>
      <c r="H50" s="589">
        <v>6217</v>
      </c>
      <c r="I50" s="589"/>
      <c r="J50" s="152"/>
      <c r="K50" s="152"/>
      <c r="L50" s="152"/>
      <c r="M50" s="152"/>
      <c r="N50" s="152"/>
      <c r="O50" s="152"/>
      <c r="P50" s="152"/>
      <c r="Q50" s="152"/>
    </row>
    <row r="51" spans="1:17" ht="18" hidden="1" customHeight="1" x14ac:dyDescent="0.3">
      <c r="A51" s="180"/>
      <c r="B51" s="587"/>
      <c r="C51" s="183"/>
      <c r="D51" s="183"/>
      <c r="E51" s="185" t="s">
        <v>125</v>
      </c>
      <c r="F51" s="596">
        <v>1438</v>
      </c>
      <c r="G51" s="596"/>
      <c r="H51" s="596">
        <v>1438</v>
      </c>
      <c r="I51" s="596"/>
      <c r="J51" s="155"/>
      <c r="K51" s="198"/>
      <c r="L51" s="152"/>
      <c r="M51" s="152"/>
      <c r="N51" s="152"/>
      <c r="O51" s="199"/>
      <c r="P51" s="200"/>
      <c r="Q51" s="200"/>
    </row>
    <row r="52" spans="1:17" ht="15.75" hidden="1" customHeight="1" x14ac:dyDescent="0.3">
      <c r="A52" s="180"/>
      <c r="B52" s="587"/>
      <c r="C52" s="183"/>
      <c r="D52" s="183"/>
      <c r="E52" s="182" t="s">
        <v>134</v>
      </c>
      <c r="F52" s="591">
        <v>2738</v>
      </c>
      <c r="G52" s="591"/>
      <c r="H52" s="591">
        <v>2738</v>
      </c>
      <c r="I52" s="591"/>
      <c r="J52" s="585"/>
      <c r="K52" s="585"/>
      <c r="L52" s="152"/>
      <c r="M52" s="152"/>
      <c r="N52" s="152"/>
      <c r="O52" s="592"/>
      <c r="P52" s="592"/>
      <c r="Q52" s="592"/>
    </row>
    <row r="53" spans="1:17" ht="15" hidden="1" customHeight="1" x14ac:dyDescent="0.25">
      <c r="A53" s="180"/>
      <c r="B53" s="587"/>
      <c r="C53" s="183"/>
      <c r="D53" s="183"/>
      <c r="E53" s="184" t="s">
        <v>131</v>
      </c>
      <c r="F53" s="593" t="s">
        <v>135</v>
      </c>
      <c r="G53" s="594"/>
      <c r="H53" s="593" t="s">
        <v>135</v>
      </c>
      <c r="I53" s="594"/>
      <c r="J53" s="155"/>
      <c r="K53" s="155"/>
      <c r="L53" s="152"/>
      <c r="M53" s="152"/>
      <c r="N53" s="152"/>
      <c r="O53" s="201"/>
      <c r="P53" s="201"/>
      <c r="Q53" s="201"/>
    </row>
    <row r="54" spans="1:17" ht="15.75" hidden="1" customHeight="1" x14ac:dyDescent="0.25">
      <c r="A54" s="180"/>
      <c r="B54" s="588"/>
      <c r="C54" s="186"/>
      <c r="D54" s="186"/>
      <c r="E54" s="184" t="s">
        <v>136</v>
      </c>
      <c r="F54" s="188" t="s">
        <v>137</v>
      </c>
      <c r="G54" s="188" t="s">
        <v>138</v>
      </c>
      <c r="H54" s="188" t="s">
        <v>137</v>
      </c>
      <c r="I54" s="188" t="s">
        <v>138</v>
      </c>
      <c r="J54" s="585"/>
      <c r="K54" s="585"/>
      <c r="L54" s="585"/>
      <c r="M54" s="585"/>
      <c r="N54" s="152"/>
      <c r="O54" s="202"/>
      <c r="P54" s="203"/>
      <c r="Q54" s="204"/>
    </row>
    <row r="55" spans="1:17" ht="12.75" hidden="1" customHeight="1" x14ac:dyDescent="0.25">
      <c r="A55" s="180"/>
      <c r="B55" s="175"/>
      <c r="C55" s="175"/>
      <c r="D55" s="175"/>
      <c r="E55" s="170"/>
      <c r="F55" s="170"/>
      <c r="G55" s="155"/>
      <c r="H55" s="170"/>
      <c r="I55" s="155"/>
      <c r="J55" s="155"/>
      <c r="K55" s="155"/>
      <c r="L55" s="152"/>
      <c r="M55" s="152"/>
      <c r="N55" s="152"/>
      <c r="O55" s="152"/>
      <c r="P55" s="205"/>
      <c r="Q55" s="152"/>
    </row>
    <row r="56" spans="1:17" ht="12.75" hidden="1" customHeight="1" x14ac:dyDescent="0.25">
      <c r="A56" s="206"/>
      <c r="B56" s="175"/>
      <c r="C56" s="175"/>
      <c r="D56" s="175"/>
      <c r="E56" s="155"/>
      <c r="F56" s="170"/>
      <c r="G56" s="207" t="s">
        <v>139</v>
      </c>
      <c r="H56" s="170"/>
      <c r="I56" s="207" t="s">
        <v>139</v>
      </c>
      <c r="J56" s="155"/>
      <c r="K56" s="155"/>
      <c r="L56" s="152"/>
      <c r="M56" s="152"/>
      <c r="N56" s="160"/>
      <c r="O56" s="152"/>
      <c r="P56" s="152"/>
      <c r="Q56" s="152"/>
    </row>
    <row r="57" spans="1:17" ht="12.75" hidden="1" customHeight="1" x14ac:dyDescent="0.25">
      <c r="A57" s="208"/>
      <c r="B57" s="175"/>
      <c r="C57" s="175"/>
      <c r="D57" s="175"/>
      <c r="E57" s="170"/>
      <c r="F57" s="170"/>
      <c r="G57" s="195"/>
      <c r="H57" s="170"/>
      <c r="I57" s="195"/>
      <c r="J57" s="152"/>
      <c r="K57" s="152"/>
      <c r="L57" s="152"/>
      <c r="M57" s="152"/>
      <c r="N57" s="152"/>
      <c r="O57" s="209"/>
      <c r="P57" s="209"/>
      <c r="Q57" s="210"/>
    </row>
    <row r="58" spans="1:17" ht="15.6" x14ac:dyDescent="0.3">
      <c r="A58" s="180"/>
      <c r="B58" s="152"/>
      <c r="C58" s="152"/>
      <c r="D58" s="152"/>
      <c r="E58" s="152"/>
      <c r="F58" s="152"/>
      <c r="G58" s="152"/>
      <c r="H58" s="152"/>
      <c r="I58" s="152"/>
      <c r="J58" s="211"/>
      <c r="K58" s="211"/>
      <c r="L58" s="193"/>
      <c r="M58" s="193"/>
      <c r="N58" s="209"/>
      <c r="O58" s="209"/>
      <c r="P58" s="209"/>
      <c r="Q58" s="209"/>
    </row>
    <row r="59" spans="1:17" ht="15" x14ac:dyDescent="0.25">
      <c r="A59" s="582" t="s">
        <v>225</v>
      </c>
      <c r="B59" s="583"/>
      <c r="C59" s="583"/>
      <c r="D59" s="583"/>
      <c r="E59" s="583"/>
      <c r="F59" s="583"/>
      <c r="G59" s="583"/>
      <c r="H59" s="583"/>
      <c r="I59" s="583"/>
      <c r="J59" s="124"/>
      <c r="K59" s="156" t="s">
        <v>110</v>
      </c>
      <c r="L59" s="212"/>
      <c r="M59" s="158"/>
      <c r="N59" s="163"/>
      <c r="O59" s="213"/>
      <c r="P59" s="192"/>
      <c r="Q59" s="192"/>
    </row>
    <row r="60" spans="1:17" s="135" customFormat="1" ht="16.05" customHeight="1" x14ac:dyDescent="0.25">
      <c r="A60" s="152"/>
      <c r="B60" s="561"/>
      <c r="C60" s="170"/>
      <c r="D60" s="170"/>
      <c r="E60" s="214" t="s">
        <v>128</v>
      </c>
      <c r="F60" s="570">
        <f>F15</f>
        <v>17.2</v>
      </c>
      <c r="G60" s="570"/>
      <c r="H60" s="275"/>
      <c r="I60" s="570"/>
      <c r="J60" s="570"/>
      <c r="K60" s="577" t="s">
        <v>249</v>
      </c>
      <c r="L60" s="578"/>
      <c r="M60" s="578"/>
      <c r="N60" s="578"/>
      <c r="O60" s="578"/>
      <c r="P60" s="155"/>
      <c r="Q60" s="155"/>
    </row>
    <row r="61" spans="1:17" s="135" customFormat="1" ht="16.05" customHeight="1" x14ac:dyDescent="0.25">
      <c r="A61" s="152"/>
      <c r="B61" s="561"/>
      <c r="C61" s="215"/>
      <c r="D61" s="215"/>
      <c r="E61" s="164" t="s">
        <v>121</v>
      </c>
      <c r="F61" s="574">
        <f>'DST-2 -XHP Packer'!R53</f>
        <v>3719.5299999999993</v>
      </c>
      <c r="G61" s="574"/>
      <c r="H61" s="278"/>
      <c r="I61" s="574"/>
      <c r="J61" s="574"/>
      <c r="K61" s="578"/>
      <c r="L61" s="578"/>
      <c r="M61" s="578"/>
      <c r="N61" s="578"/>
      <c r="O61" s="578"/>
      <c r="P61" s="155"/>
      <c r="Q61" s="155"/>
    </row>
    <row r="62" spans="1:17" s="135" customFormat="1" ht="16.05" customHeight="1" x14ac:dyDescent="0.25">
      <c r="A62" s="152"/>
      <c r="B62" s="561"/>
      <c r="C62" s="170"/>
      <c r="D62" s="170"/>
      <c r="E62" s="165" t="s">
        <v>122</v>
      </c>
      <c r="F62" s="561">
        <f>F61*3.281*F60*0.052</f>
        <v>10915.058980591997</v>
      </c>
      <c r="G62" s="561"/>
      <c r="H62" s="279"/>
      <c r="I62" s="561"/>
      <c r="J62" s="561"/>
      <c r="K62" s="578"/>
      <c r="L62" s="578"/>
      <c r="M62" s="578"/>
      <c r="N62" s="578"/>
      <c r="O62" s="578"/>
      <c r="P62" s="155"/>
      <c r="Q62" s="155"/>
    </row>
    <row r="63" spans="1:17" s="135" customFormat="1" ht="16.05" customHeight="1" x14ac:dyDescent="0.25">
      <c r="A63" s="152"/>
      <c r="B63" s="561"/>
      <c r="C63" s="215"/>
      <c r="D63" s="215"/>
      <c r="E63" s="216" t="s">
        <v>129</v>
      </c>
      <c r="F63" s="574">
        <v>5601</v>
      </c>
      <c r="G63" s="574"/>
      <c r="H63" s="278"/>
      <c r="I63" s="655"/>
      <c r="J63" s="655"/>
      <c r="K63" s="578"/>
      <c r="L63" s="578"/>
      <c r="M63" s="578"/>
      <c r="N63" s="578"/>
      <c r="O63" s="578"/>
      <c r="P63" s="155"/>
      <c r="Q63" s="155"/>
    </row>
    <row r="64" spans="1:17" s="135" customFormat="1" ht="16.05" customHeight="1" x14ac:dyDescent="0.3">
      <c r="A64" s="152"/>
      <c r="B64" s="561"/>
      <c r="C64" s="170"/>
      <c r="D64" s="170"/>
      <c r="E64" s="217" t="s">
        <v>125</v>
      </c>
      <c r="F64" s="571">
        <v>1400</v>
      </c>
      <c r="G64" s="571"/>
      <c r="H64" s="276"/>
      <c r="I64" s="571"/>
      <c r="J64" s="571"/>
      <c r="K64" s="578"/>
      <c r="L64" s="578"/>
      <c r="M64" s="578"/>
      <c r="N64" s="578"/>
      <c r="O64" s="578"/>
      <c r="P64" s="155"/>
      <c r="Q64" s="155"/>
    </row>
    <row r="65" spans="1:17" s="135" customFormat="1" ht="16.05" customHeight="1" x14ac:dyDescent="0.3">
      <c r="A65" s="152"/>
      <c r="B65" s="561"/>
      <c r="C65" s="215"/>
      <c r="D65" s="215"/>
      <c r="E65" s="218" t="s">
        <v>140</v>
      </c>
      <c r="F65" s="584">
        <v>2700</v>
      </c>
      <c r="G65" s="584"/>
      <c r="H65" s="277"/>
      <c r="I65" s="584"/>
      <c r="J65" s="584"/>
      <c r="K65" s="578"/>
      <c r="L65" s="578"/>
      <c r="M65" s="578"/>
      <c r="N65" s="578"/>
      <c r="O65" s="578"/>
      <c r="P65" s="155"/>
      <c r="Q65" s="155"/>
    </row>
    <row r="66" spans="1:17" s="135" customFormat="1" ht="16.05" customHeight="1" x14ac:dyDescent="0.25">
      <c r="A66" s="152"/>
      <c r="B66" s="561"/>
      <c r="C66" s="170"/>
      <c r="D66" s="170"/>
      <c r="E66" s="155" t="s">
        <v>141</v>
      </c>
      <c r="F66" s="219" t="s">
        <v>231</v>
      </c>
      <c r="G66" s="219"/>
      <c r="H66" s="219"/>
      <c r="I66" s="219"/>
      <c r="J66" s="155"/>
      <c r="K66" s="578"/>
      <c r="L66" s="578"/>
      <c r="M66" s="578"/>
      <c r="N66" s="578"/>
      <c r="O66" s="578"/>
      <c r="P66" s="155"/>
      <c r="Q66" s="155"/>
    </row>
    <row r="67" spans="1:17" s="135" customFormat="1" ht="15" customHeight="1" x14ac:dyDescent="0.25">
      <c r="A67" s="582" t="s">
        <v>142</v>
      </c>
      <c r="B67" s="583"/>
      <c r="C67" s="583"/>
      <c r="D67" s="583"/>
      <c r="E67" s="583"/>
      <c r="F67" s="583"/>
      <c r="G67" s="583"/>
      <c r="H67" s="583"/>
      <c r="I67" s="583"/>
      <c r="J67" s="123"/>
      <c r="K67" s="156" t="s">
        <v>110</v>
      </c>
      <c r="L67" s="212"/>
      <c r="M67" s="158"/>
      <c r="N67" s="163"/>
      <c r="O67" s="213"/>
      <c r="P67" s="123"/>
      <c r="Q67" s="123"/>
    </row>
    <row r="68" spans="1:17" s="135" customFormat="1" ht="18" customHeight="1" x14ac:dyDescent="0.25">
      <c r="A68" s="152"/>
      <c r="B68" s="561"/>
      <c r="C68" s="170"/>
      <c r="D68" s="170"/>
      <c r="E68" s="214" t="s">
        <v>128</v>
      </c>
      <c r="F68" s="570">
        <f>F15</f>
        <v>17.2</v>
      </c>
      <c r="G68" s="570"/>
      <c r="H68" s="570"/>
      <c r="I68" s="570"/>
      <c r="J68" s="123"/>
      <c r="K68" s="578"/>
      <c r="L68" s="578"/>
      <c r="M68" s="578"/>
      <c r="N68" s="578"/>
      <c r="O68" s="578"/>
      <c r="P68" s="123"/>
      <c r="Q68" s="123"/>
    </row>
    <row r="69" spans="1:17" s="135" customFormat="1" ht="18" customHeight="1" x14ac:dyDescent="0.25">
      <c r="A69" s="152"/>
      <c r="B69" s="561"/>
      <c r="C69" s="215"/>
      <c r="D69" s="215"/>
      <c r="E69" s="216" t="s">
        <v>121</v>
      </c>
      <c r="F69" s="574">
        <f>'DST-2 -XHP Packer'!Q55</f>
        <v>3720.6199999999994</v>
      </c>
      <c r="G69" s="574"/>
      <c r="H69" s="574"/>
      <c r="I69" s="574"/>
      <c r="J69" s="123"/>
      <c r="K69" s="578"/>
      <c r="L69" s="578"/>
      <c r="M69" s="578"/>
      <c r="N69" s="578"/>
      <c r="O69" s="578"/>
      <c r="P69" s="123"/>
      <c r="Q69" s="123"/>
    </row>
    <row r="70" spans="1:17" s="135" customFormat="1" ht="18" customHeight="1" x14ac:dyDescent="0.25">
      <c r="A70" s="152"/>
      <c r="B70" s="561"/>
      <c r="C70" s="170"/>
      <c r="D70" s="170"/>
      <c r="E70" s="165" t="s">
        <v>122</v>
      </c>
      <c r="F70" s="561">
        <f>F69*3.281*F68*0.052</f>
        <v>10918.257614368</v>
      </c>
      <c r="G70" s="561"/>
      <c r="H70" s="561"/>
      <c r="I70" s="561"/>
      <c r="J70" s="123"/>
      <c r="K70" s="578"/>
      <c r="L70" s="578"/>
      <c r="M70" s="578"/>
      <c r="N70" s="578"/>
      <c r="O70" s="578"/>
      <c r="P70" s="123"/>
      <c r="Q70" s="123"/>
    </row>
    <row r="71" spans="1:17" s="135" customFormat="1" ht="18" customHeight="1" x14ac:dyDescent="0.3">
      <c r="A71" s="152"/>
      <c r="B71" s="561"/>
      <c r="C71" s="215"/>
      <c r="D71" s="215"/>
      <c r="E71" s="216" t="s">
        <v>123</v>
      </c>
      <c r="F71" s="580" t="s">
        <v>252</v>
      </c>
      <c r="G71" s="580"/>
      <c r="H71" s="580"/>
      <c r="I71" s="580"/>
      <c r="J71" s="123"/>
      <c r="K71" s="578"/>
      <c r="L71" s="578"/>
      <c r="M71" s="578"/>
      <c r="N71" s="578"/>
      <c r="O71" s="578"/>
      <c r="P71" s="123"/>
      <c r="Q71" s="123"/>
    </row>
    <row r="72" spans="1:17" s="135" customFormat="1" ht="18" customHeight="1" x14ac:dyDescent="0.25">
      <c r="A72" s="152"/>
      <c r="B72" s="561"/>
      <c r="C72" s="170"/>
      <c r="D72" s="170"/>
      <c r="E72" s="166" t="s">
        <v>143</v>
      </c>
      <c r="F72" s="561">
        <v>15990</v>
      </c>
      <c r="G72" s="561"/>
      <c r="H72" s="561"/>
      <c r="I72" s="561"/>
      <c r="J72" s="123"/>
      <c r="K72" s="578"/>
      <c r="L72" s="578"/>
      <c r="M72" s="578"/>
      <c r="N72" s="578"/>
      <c r="O72" s="578"/>
      <c r="P72" s="123"/>
      <c r="Q72" s="123"/>
    </row>
    <row r="73" spans="1:17" s="135" customFormat="1" ht="18" customHeight="1" x14ac:dyDescent="0.3">
      <c r="A73" s="152"/>
      <c r="B73" s="561"/>
      <c r="C73" s="215"/>
      <c r="D73" s="215"/>
      <c r="E73" s="167" t="s">
        <v>125</v>
      </c>
      <c r="F73" s="568">
        <f>F72-F70</f>
        <v>5071.7423856320002</v>
      </c>
      <c r="G73" s="568"/>
      <c r="H73" s="568"/>
      <c r="I73" s="568"/>
      <c r="J73" s="123"/>
      <c r="K73" s="578"/>
      <c r="L73" s="578"/>
      <c r="M73" s="578"/>
      <c r="N73" s="578"/>
      <c r="O73" s="578"/>
      <c r="P73" s="123"/>
      <c r="Q73" s="123"/>
    </row>
    <row r="74" spans="1:17" s="135" customFormat="1" ht="18" customHeight="1" x14ac:dyDescent="0.25">
      <c r="A74" s="152"/>
      <c r="B74" s="561"/>
      <c r="C74" s="155"/>
      <c r="D74" s="155"/>
      <c r="E74" s="165" t="s">
        <v>117</v>
      </c>
      <c r="F74" s="172">
        <f>F72+(F72*0.02)-F70</f>
        <v>5391.5423856319994</v>
      </c>
      <c r="G74" s="220">
        <f>F72-(F72*0.02)-F70</f>
        <v>4751.9423856320009</v>
      </c>
      <c r="H74" s="172"/>
      <c r="I74" s="220"/>
      <c r="J74" s="123"/>
      <c r="K74" s="578"/>
      <c r="L74" s="578"/>
      <c r="M74" s="578"/>
      <c r="N74" s="578"/>
      <c r="O74" s="578"/>
      <c r="P74" s="123"/>
      <c r="Q74" s="175"/>
    </row>
    <row r="75" spans="1:17" s="135" customFormat="1" ht="4.5" customHeight="1" x14ac:dyDescent="0.25">
      <c r="A75" s="152"/>
      <c r="B75" s="170"/>
      <c r="C75" s="170"/>
      <c r="D75" s="170"/>
      <c r="E75" s="155"/>
      <c r="F75" s="172"/>
      <c r="G75" s="172"/>
      <c r="H75" s="172"/>
      <c r="I75" s="172"/>
      <c r="J75" s="123"/>
      <c r="K75" s="221"/>
      <c r="L75" s="221"/>
      <c r="M75" s="221"/>
      <c r="N75" s="221"/>
      <c r="O75" s="221"/>
      <c r="P75" s="123"/>
      <c r="Q75" s="175"/>
    </row>
    <row r="76" spans="1:17" s="135" customFormat="1" ht="6" customHeight="1" x14ac:dyDescent="0.25">
      <c r="A76" s="152"/>
      <c r="B76" s="170"/>
      <c r="C76" s="170"/>
      <c r="D76" s="170"/>
      <c r="E76" s="155"/>
      <c r="F76" s="222"/>
      <c r="G76" s="222"/>
      <c r="H76" s="223"/>
      <c r="I76" s="223"/>
      <c r="J76" s="155"/>
      <c r="K76" s="221"/>
      <c r="L76" s="221"/>
      <c r="M76" s="221"/>
      <c r="N76" s="221"/>
      <c r="O76" s="221"/>
      <c r="P76" s="155"/>
      <c r="Q76" s="155"/>
    </row>
    <row r="77" spans="1:17" s="135" customFormat="1" ht="15" customHeight="1" x14ac:dyDescent="0.25">
      <c r="A77" s="569" t="s">
        <v>144</v>
      </c>
      <c r="B77" s="569"/>
      <c r="C77" s="569"/>
      <c r="D77" s="569"/>
      <c r="E77" s="569"/>
      <c r="F77" s="569"/>
      <c r="G77" s="569"/>
      <c r="H77" s="569"/>
      <c r="I77" s="569"/>
      <c r="J77" s="155"/>
      <c r="K77" s="156" t="s">
        <v>110</v>
      </c>
      <c r="L77" s="212"/>
      <c r="M77" s="158"/>
      <c r="N77" s="158"/>
      <c r="O77" s="213"/>
      <c r="P77" s="192"/>
      <c r="Q77" s="192"/>
    </row>
    <row r="78" spans="1:17" s="135" customFormat="1" ht="16.05" customHeight="1" x14ac:dyDescent="0.25">
      <c r="A78" s="152"/>
      <c r="B78" s="561"/>
      <c r="C78" s="170"/>
      <c r="D78" s="170"/>
      <c r="E78" s="214" t="s">
        <v>128</v>
      </c>
      <c r="F78" s="570"/>
      <c r="G78" s="570"/>
      <c r="H78" s="570"/>
      <c r="I78" s="570"/>
      <c r="J78" s="155"/>
      <c r="K78" s="577" t="s">
        <v>171</v>
      </c>
      <c r="L78" s="578"/>
      <c r="M78" s="578"/>
      <c r="N78" s="578"/>
      <c r="O78" s="578"/>
      <c r="P78" s="155"/>
      <c r="Q78" s="155"/>
    </row>
    <row r="79" spans="1:17" s="135" customFormat="1" ht="16.05" customHeight="1" x14ac:dyDescent="0.25">
      <c r="A79" s="152"/>
      <c r="B79" s="561"/>
      <c r="C79" s="215"/>
      <c r="D79" s="215"/>
      <c r="E79" s="216" t="s">
        <v>121</v>
      </c>
      <c r="F79" s="574"/>
      <c r="G79" s="574"/>
      <c r="H79" s="574"/>
      <c r="I79" s="574"/>
      <c r="J79" s="155"/>
      <c r="K79" s="578"/>
      <c r="L79" s="578"/>
      <c r="M79" s="578"/>
      <c r="N79" s="578"/>
      <c r="O79" s="578"/>
      <c r="P79" s="155"/>
      <c r="Q79" s="155"/>
    </row>
    <row r="80" spans="1:17" s="135" customFormat="1" ht="16.05" customHeight="1" x14ac:dyDescent="0.25">
      <c r="A80" s="152"/>
      <c r="B80" s="561"/>
      <c r="C80" s="170"/>
      <c r="D80" s="170"/>
      <c r="E80" s="155" t="s">
        <v>122</v>
      </c>
      <c r="F80" s="561"/>
      <c r="G80" s="561"/>
      <c r="H80" s="561"/>
      <c r="I80" s="561"/>
      <c r="J80" s="155"/>
      <c r="K80" s="578"/>
      <c r="L80" s="578"/>
      <c r="M80" s="578"/>
      <c r="N80" s="578"/>
      <c r="O80" s="578"/>
      <c r="P80" s="155"/>
      <c r="Q80" s="155"/>
    </row>
    <row r="81" spans="1:18" s="135" customFormat="1" ht="16.05" customHeight="1" x14ac:dyDescent="0.25">
      <c r="A81" s="152"/>
      <c r="B81" s="561"/>
      <c r="C81" s="215"/>
      <c r="D81" s="215"/>
      <c r="E81" s="164" t="s">
        <v>145</v>
      </c>
      <c r="F81" s="579" t="s">
        <v>211</v>
      </c>
      <c r="G81" s="579"/>
      <c r="H81" s="581"/>
      <c r="I81" s="574"/>
      <c r="J81" s="155"/>
      <c r="K81" s="578"/>
      <c r="L81" s="578"/>
      <c r="M81" s="578"/>
      <c r="N81" s="578"/>
      <c r="O81" s="578"/>
      <c r="P81" s="155"/>
      <c r="Q81" s="155"/>
    </row>
    <row r="82" spans="1:18" s="135" customFormat="1" ht="16.05" customHeight="1" x14ac:dyDescent="0.3">
      <c r="A82" s="152"/>
      <c r="B82" s="561"/>
      <c r="C82" s="170"/>
      <c r="D82" s="170"/>
      <c r="E82" s="166" t="s">
        <v>143</v>
      </c>
      <c r="F82" s="571"/>
      <c r="G82" s="571"/>
      <c r="H82" s="572"/>
      <c r="I82" s="572"/>
      <c r="J82" s="155"/>
      <c r="K82" s="578"/>
      <c r="L82" s="578"/>
      <c r="M82" s="578"/>
      <c r="N82" s="578"/>
      <c r="O82" s="578"/>
      <c r="P82" s="155"/>
      <c r="Q82" s="155"/>
    </row>
    <row r="83" spans="1:18" s="135" customFormat="1" ht="16.05" customHeight="1" x14ac:dyDescent="0.3">
      <c r="A83" s="152"/>
      <c r="B83" s="561"/>
      <c r="C83" s="215"/>
      <c r="D83" s="215"/>
      <c r="E83" s="167" t="s">
        <v>125</v>
      </c>
      <c r="F83" s="568"/>
      <c r="G83" s="568"/>
      <c r="H83" s="580"/>
      <c r="I83" s="580"/>
      <c r="J83" s="155"/>
      <c r="K83" s="578"/>
      <c r="L83" s="578"/>
      <c r="M83" s="578"/>
      <c r="N83" s="578"/>
      <c r="O83" s="578"/>
      <c r="P83" s="155"/>
      <c r="Q83" s="155"/>
    </row>
    <row r="84" spans="1:18" s="135" customFormat="1" ht="15" customHeight="1" x14ac:dyDescent="0.25">
      <c r="A84" s="152"/>
      <c r="B84" s="561"/>
      <c r="C84" s="155"/>
      <c r="D84" s="155"/>
      <c r="E84" s="165" t="s">
        <v>117</v>
      </c>
      <c r="F84" s="172"/>
      <c r="G84" s="220"/>
      <c r="H84" s="224"/>
      <c r="I84" s="224"/>
      <c r="J84" s="155"/>
      <c r="K84" s="578"/>
      <c r="L84" s="578"/>
      <c r="M84" s="578"/>
      <c r="N84" s="578"/>
      <c r="O84" s="578"/>
      <c r="P84" s="155"/>
      <c r="Q84" s="155"/>
    </row>
    <row r="85" spans="1:18" s="135" customFormat="1" ht="28.5" hidden="1" customHeight="1" x14ac:dyDescent="0.25">
      <c r="A85" s="152"/>
      <c r="B85" s="152"/>
      <c r="C85" s="152"/>
      <c r="D85" s="152"/>
      <c r="E85" s="152"/>
      <c r="F85" s="152"/>
      <c r="G85" s="153"/>
      <c r="H85" s="225"/>
      <c r="I85" s="226"/>
      <c r="J85" s="155"/>
      <c r="K85" s="155"/>
      <c r="L85" s="155"/>
      <c r="M85" s="155"/>
      <c r="N85" s="155"/>
      <c r="O85" s="155"/>
      <c r="P85" s="155"/>
      <c r="Q85" s="155"/>
    </row>
    <row r="86" spans="1:18" s="135" customFormat="1" ht="30" hidden="1" customHeight="1" x14ac:dyDescent="0.25">
      <c r="H86" s="227"/>
      <c r="I86" s="227"/>
    </row>
    <row r="87" spans="1:18" s="135" customFormat="1" ht="27.75" hidden="1" customHeight="1" x14ac:dyDescent="0.25">
      <c r="H87" s="227"/>
      <c r="I87" s="227"/>
    </row>
    <row r="88" spans="1:18" s="135" customFormat="1" ht="5.25" customHeight="1" x14ac:dyDescent="0.25">
      <c r="H88" s="227"/>
      <c r="I88" s="227"/>
    </row>
    <row r="89" spans="1:18" s="135" customFormat="1" ht="15" x14ac:dyDescent="0.25">
      <c r="A89" s="569" t="s">
        <v>146</v>
      </c>
      <c r="B89" s="569"/>
      <c r="C89" s="569"/>
      <c r="D89" s="569"/>
      <c r="E89" s="569"/>
      <c r="F89" s="569"/>
      <c r="G89" s="569"/>
      <c r="H89" s="569"/>
      <c r="I89" s="569"/>
      <c r="J89" s="155"/>
      <c r="K89" s="156" t="s">
        <v>110</v>
      </c>
      <c r="L89" s="212"/>
      <c r="M89" s="158"/>
      <c r="N89" s="158"/>
      <c r="O89" s="213"/>
      <c r="P89" s="192"/>
      <c r="Q89" s="192"/>
    </row>
    <row r="90" spans="1:18" s="135" customFormat="1" ht="15.75" customHeight="1" x14ac:dyDescent="0.25">
      <c r="A90" s="152"/>
      <c r="B90" s="561"/>
      <c r="C90" s="170"/>
      <c r="D90" s="170"/>
      <c r="E90" s="214" t="s">
        <v>128</v>
      </c>
      <c r="F90" s="567">
        <v>17.2</v>
      </c>
      <c r="G90" s="567"/>
      <c r="H90" s="567"/>
      <c r="I90" s="567"/>
      <c r="J90" s="155"/>
      <c r="K90" s="573"/>
      <c r="L90" s="573"/>
      <c r="M90" s="573"/>
      <c r="N90" s="573"/>
      <c r="O90" s="573"/>
      <c r="P90" s="155"/>
      <c r="Q90" s="155"/>
    </row>
    <row r="91" spans="1:18" s="135" customFormat="1" ht="15.75" customHeight="1" x14ac:dyDescent="0.25">
      <c r="A91" s="152"/>
      <c r="B91" s="561"/>
      <c r="C91" s="215"/>
      <c r="D91" s="215"/>
      <c r="E91" s="164" t="s">
        <v>147</v>
      </c>
      <c r="F91" s="574">
        <f>'DST-2 -XHP Packer'!P41</f>
        <v>947.06</v>
      </c>
      <c r="G91" s="574"/>
      <c r="H91" s="574"/>
      <c r="I91" s="574"/>
      <c r="J91" s="155"/>
      <c r="K91" s="573"/>
      <c r="L91" s="573"/>
      <c r="M91" s="573"/>
      <c r="N91" s="573"/>
      <c r="O91" s="573"/>
      <c r="P91" s="155"/>
      <c r="Q91" s="155"/>
    </row>
    <row r="92" spans="1:18" s="135" customFormat="1" ht="15.75" customHeight="1" x14ac:dyDescent="0.25">
      <c r="A92" s="152"/>
      <c r="B92" s="561"/>
      <c r="C92" s="170"/>
      <c r="D92" s="170"/>
      <c r="E92" s="165" t="s">
        <v>148</v>
      </c>
      <c r="F92" s="575">
        <v>15.5</v>
      </c>
      <c r="G92" s="575"/>
      <c r="H92" s="575"/>
      <c r="I92" s="575"/>
      <c r="J92" s="155"/>
      <c r="K92" s="573"/>
      <c r="L92" s="573"/>
      <c r="M92" s="573"/>
      <c r="N92" s="573"/>
      <c r="O92" s="573"/>
      <c r="P92" s="155"/>
      <c r="Q92" s="155"/>
    </row>
    <row r="93" spans="1:18" s="135" customFormat="1" ht="15.75" customHeight="1" x14ac:dyDescent="0.25">
      <c r="A93" s="152"/>
      <c r="B93" s="561"/>
      <c r="C93" s="215"/>
      <c r="D93" s="215"/>
      <c r="E93" s="164" t="s">
        <v>149</v>
      </c>
      <c r="F93" s="576">
        <f>(65.45-F90)/65.45</f>
        <v>0.73720397249809011</v>
      </c>
      <c r="G93" s="576"/>
      <c r="H93" s="576"/>
      <c r="I93" s="576"/>
      <c r="J93" s="155"/>
      <c r="K93" s="573"/>
      <c r="L93" s="573"/>
      <c r="M93" s="573"/>
      <c r="N93" s="573"/>
      <c r="O93" s="573"/>
      <c r="P93" s="155"/>
      <c r="Q93" s="155"/>
      <c r="R93" s="228"/>
    </row>
    <row r="94" spans="1:18" s="135" customFormat="1" ht="15.75" customHeight="1" x14ac:dyDescent="0.25">
      <c r="A94" s="152"/>
      <c r="B94" s="561"/>
      <c r="C94" s="170"/>
      <c r="D94" s="170"/>
      <c r="E94" s="166" t="s">
        <v>150</v>
      </c>
      <c r="F94" s="561">
        <f>F91*3.281*F92*F93</f>
        <v>35506.109614935063</v>
      </c>
      <c r="G94" s="561"/>
      <c r="H94" s="561"/>
      <c r="I94" s="561"/>
      <c r="J94" s="155"/>
      <c r="K94" s="573"/>
      <c r="L94" s="573"/>
      <c r="M94" s="573"/>
      <c r="N94" s="573"/>
      <c r="O94" s="573"/>
      <c r="P94" s="155"/>
      <c r="Q94" s="155"/>
    </row>
    <row r="95" spans="1:18" s="135" customFormat="1" ht="15.75" customHeight="1" x14ac:dyDescent="0.4">
      <c r="A95" s="152"/>
      <c r="B95" s="561"/>
      <c r="C95" s="242"/>
      <c r="D95" s="242"/>
      <c r="E95" s="166" t="s">
        <v>186</v>
      </c>
      <c r="F95" s="561">
        <f>'DST-2 -XHP Packer'!R58</f>
        <v>3731.6549999999997</v>
      </c>
      <c r="G95" s="561"/>
      <c r="H95" s="363"/>
      <c r="I95" s="242"/>
      <c r="J95" s="243"/>
      <c r="K95" s="573"/>
      <c r="L95" s="573"/>
      <c r="M95" s="573"/>
      <c r="N95" s="573"/>
      <c r="O95" s="573"/>
      <c r="P95" s="243"/>
      <c r="Q95" s="243"/>
    </row>
    <row r="96" spans="1:18" s="135" customFormat="1" ht="15.75" customHeight="1" x14ac:dyDescent="0.3">
      <c r="A96" s="152"/>
      <c r="B96" s="561"/>
      <c r="C96" s="215"/>
      <c r="D96" s="215"/>
      <c r="E96" s="166" t="s">
        <v>122</v>
      </c>
      <c r="F96" s="568">
        <f>F90*3.281*0.052*F95</f>
        <v>10950.640113191997</v>
      </c>
      <c r="G96" s="568"/>
      <c r="H96" s="568"/>
      <c r="I96" s="568"/>
      <c r="J96" s="155"/>
      <c r="K96" s="573"/>
      <c r="L96" s="573"/>
      <c r="M96" s="573"/>
      <c r="N96" s="573"/>
      <c r="O96" s="573"/>
      <c r="P96" s="155"/>
      <c r="Q96" s="155"/>
    </row>
    <row r="97" spans="1:17" s="135" customFormat="1" ht="15.75" customHeight="1" x14ac:dyDescent="0.25">
      <c r="A97" s="152"/>
      <c r="B97" s="561"/>
      <c r="C97" s="155"/>
      <c r="D97" s="155"/>
      <c r="E97" s="165"/>
      <c r="F97" s="172"/>
      <c r="G97" s="172"/>
      <c r="H97" s="172"/>
      <c r="I97" s="172"/>
      <c r="J97" s="155"/>
      <c r="K97" s="573"/>
      <c r="L97" s="573"/>
      <c r="M97" s="573"/>
      <c r="N97" s="573"/>
      <c r="O97" s="573"/>
      <c r="P97" s="155"/>
      <c r="Q97" s="155"/>
    </row>
    <row r="98" spans="1:17" s="135" customFormat="1" ht="6" customHeight="1" x14ac:dyDescent="0.25"/>
    <row r="100" spans="1:17" ht="15" x14ac:dyDescent="0.25">
      <c r="A100" s="569" t="s">
        <v>167</v>
      </c>
      <c r="B100" s="569"/>
      <c r="C100" s="569"/>
      <c r="D100" s="569"/>
      <c r="E100" s="569"/>
      <c r="F100" s="569"/>
      <c r="G100" s="569"/>
      <c r="H100" s="569"/>
      <c r="I100" s="569"/>
    </row>
    <row r="101" spans="1:17" ht="15" x14ac:dyDescent="0.25">
      <c r="A101" s="152"/>
      <c r="B101" s="658" t="s">
        <v>151</v>
      </c>
      <c r="C101" s="659"/>
      <c r="D101" s="659"/>
      <c r="E101" s="659"/>
      <c r="F101" s="660">
        <v>17.2</v>
      </c>
      <c r="G101" s="660"/>
      <c r="H101" s="661"/>
      <c r="I101" s="661"/>
    </row>
    <row r="102" spans="1:17" x14ac:dyDescent="0.25">
      <c r="A102" s="152"/>
      <c r="B102" s="561"/>
      <c r="C102" s="558" t="s">
        <v>152</v>
      </c>
      <c r="D102" s="558"/>
      <c r="E102" s="558"/>
      <c r="F102" s="559">
        <v>5200</v>
      </c>
      <c r="G102" s="559"/>
      <c r="H102" s="559"/>
      <c r="I102" s="559"/>
    </row>
    <row r="103" spans="1:17" x14ac:dyDescent="0.25">
      <c r="A103" s="152"/>
      <c r="B103" s="561"/>
      <c r="C103" s="563" t="s">
        <v>168</v>
      </c>
      <c r="D103" s="563"/>
      <c r="E103" s="563"/>
      <c r="F103" s="662">
        <v>19.63</v>
      </c>
      <c r="G103" s="662"/>
      <c r="H103" s="556" t="s">
        <v>222</v>
      </c>
      <c r="I103" s="557"/>
    </row>
    <row r="104" spans="1:17" x14ac:dyDescent="0.25">
      <c r="A104" s="152"/>
      <c r="B104" s="561"/>
      <c r="C104" s="558" t="s">
        <v>153</v>
      </c>
      <c r="D104" s="558"/>
      <c r="E104" s="558"/>
      <c r="F104" s="559">
        <f>F102*F103</f>
        <v>102076</v>
      </c>
      <c r="G104" s="559"/>
      <c r="H104" s="559"/>
      <c r="I104" s="559"/>
    </row>
    <row r="105" spans="1:17" x14ac:dyDescent="0.25">
      <c r="A105" s="152"/>
      <c r="B105" s="561"/>
      <c r="C105" s="656"/>
      <c r="D105" s="656"/>
      <c r="E105" s="656"/>
      <c r="F105" s="656"/>
      <c r="G105" s="656"/>
      <c r="H105" s="656"/>
      <c r="I105" s="656"/>
      <c r="K105" s="229"/>
    </row>
    <row r="106" spans="1:17" x14ac:dyDescent="0.25">
      <c r="A106" s="152"/>
      <c r="B106" s="561"/>
      <c r="C106" s="657" t="s">
        <v>154</v>
      </c>
      <c r="D106" s="657"/>
      <c r="E106" s="657"/>
      <c r="F106" s="565">
        <f>'DST-2 -XHP Packer'!P32</f>
        <v>2670.2159999999999</v>
      </c>
      <c r="G106" s="565"/>
      <c r="H106" s="565"/>
      <c r="I106" s="565"/>
    </row>
    <row r="107" spans="1:17" x14ac:dyDescent="0.25">
      <c r="A107" s="152"/>
      <c r="B107" s="561"/>
      <c r="C107" s="563" t="s">
        <v>155</v>
      </c>
      <c r="D107" s="563"/>
      <c r="E107" s="563"/>
      <c r="F107" s="564">
        <f>(65.45-F101)/65.45</f>
        <v>0.73720397249809011</v>
      </c>
      <c r="G107" s="564"/>
      <c r="H107" s="564"/>
      <c r="I107" s="564"/>
    </row>
    <row r="108" spans="1:17" x14ac:dyDescent="0.25">
      <c r="A108" s="152"/>
      <c r="B108" s="561"/>
      <c r="C108" s="558" t="s">
        <v>156</v>
      </c>
      <c r="D108" s="565"/>
      <c r="E108" s="565"/>
      <c r="F108" s="566">
        <v>15.5</v>
      </c>
      <c r="G108" s="566"/>
      <c r="H108" s="566"/>
      <c r="I108" s="566"/>
    </row>
    <row r="109" spans="1:17" x14ac:dyDescent="0.25">
      <c r="A109" s="152"/>
      <c r="B109" s="561"/>
      <c r="C109" s="560" t="s">
        <v>157</v>
      </c>
      <c r="D109" s="561"/>
      <c r="E109" s="561"/>
      <c r="F109" s="562">
        <f>F106*3.281*F107*F108</f>
        <v>100108.73861376624</v>
      </c>
      <c r="G109" s="562"/>
      <c r="H109" s="562"/>
      <c r="I109" s="562"/>
    </row>
    <row r="110" spans="1:17" x14ac:dyDescent="0.25">
      <c r="C110" s="560" t="s">
        <v>193</v>
      </c>
      <c r="D110" s="561" t="s">
        <v>192</v>
      </c>
      <c r="E110" s="561"/>
      <c r="F110" s="562">
        <v>8000</v>
      </c>
      <c r="G110" s="562"/>
    </row>
    <row r="111" spans="1:17" x14ac:dyDescent="0.25">
      <c r="D111" s="231" t="s">
        <v>169</v>
      </c>
      <c r="E111" s="230"/>
      <c r="F111" s="562">
        <f>F109+F110-F104</f>
        <v>6032.7386137662397</v>
      </c>
      <c r="G111" s="562"/>
    </row>
  </sheetData>
  <mergeCells count="200">
    <mergeCell ref="I60:J60"/>
    <mergeCell ref="I61:J61"/>
    <mergeCell ref="I62:J62"/>
    <mergeCell ref="I63:J63"/>
    <mergeCell ref="I64:J64"/>
    <mergeCell ref="I65:J65"/>
    <mergeCell ref="C110:E110"/>
    <mergeCell ref="F110:G110"/>
    <mergeCell ref="F111:G111"/>
    <mergeCell ref="F71:G71"/>
    <mergeCell ref="H104:I104"/>
    <mergeCell ref="C105:I105"/>
    <mergeCell ref="C106:E106"/>
    <mergeCell ref="F106:G106"/>
    <mergeCell ref="H106:I106"/>
    <mergeCell ref="B101:E101"/>
    <mergeCell ref="F101:G101"/>
    <mergeCell ref="H101:I101"/>
    <mergeCell ref="B102:B109"/>
    <mergeCell ref="C102:E102"/>
    <mergeCell ref="F102:G102"/>
    <mergeCell ref="H102:I102"/>
    <mergeCell ref="C103:E103"/>
    <mergeCell ref="F103:G103"/>
    <mergeCell ref="A1:E2"/>
    <mergeCell ref="F1:G1"/>
    <mergeCell ref="F2:G2"/>
    <mergeCell ref="F3:G3"/>
    <mergeCell ref="C4:D4"/>
    <mergeCell ref="E4:G4"/>
    <mergeCell ref="C7:D7"/>
    <mergeCell ref="E7:F7"/>
    <mergeCell ref="G7:H7"/>
    <mergeCell ref="H31:I31"/>
    <mergeCell ref="F32:G32"/>
    <mergeCell ref="H32:I32"/>
    <mergeCell ref="A35:I35"/>
    <mergeCell ref="A14:I14"/>
    <mergeCell ref="B15:B21"/>
    <mergeCell ref="F15:G15"/>
    <mergeCell ref="F26:G26"/>
    <mergeCell ref="H26:I26"/>
    <mergeCell ref="F27:G27"/>
    <mergeCell ref="H27:I27"/>
    <mergeCell ref="F31:G31"/>
    <mergeCell ref="F28:G28"/>
    <mergeCell ref="H28:I28"/>
    <mergeCell ref="F29:G29"/>
    <mergeCell ref="H29:I29"/>
    <mergeCell ref="F30:G30"/>
    <mergeCell ref="H30:I30"/>
    <mergeCell ref="B26:B33"/>
    <mergeCell ref="B9:D9"/>
    <mergeCell ref="F9:H9"/>
    <mergeCell ref="K9:M9"/>
    <mergeCell ref="N9:O9"/>
    <mergeCell ref="K15:O21"/>
    <mergeCell ref="F16:G16"/>
    <mergeCell ref="F17:G17"/>
    <mergeCell ref="F18:G18"/>
    <mergeCell ref="H11:K12"/>
    <mergeCell ref="F19:G19"/>
    <mergeCell ref="F20:G20"/>
    <mergeCell ref="H20:I20"/>
    <mergeCell ref="K10:M10"/>
    <mergeCell ref="A11:C12"/>
    <mergeCell ref="D11:E12"/>
    <mergeCell ref="F11:G12"/>
    <mergeCell ref="B10:D10"/>
    <mergeCell ref="F10:H10"/>
    <mergeCell ref="F8:H8"/>
    <mergeCell ref="I8:K8"/>
    <mergeCell ref="L7:M7"/>
    <mergeCell ref="N7:O7"/>
    <mergeCell ref="K4:M4"/>
    <mergeCell ref="N4:O4"/>
    <mergeCell ref="A5:O5"/>
    <mergeCell ref="C6:D6"/>
    <mergeCell ref="E6:F6"/>
    <mergeCell ref="G6:H6"/>
    <mergeCell ref="I6:K6"/>
    <mergeCell ref="L6:M6"/>
    <mergeCell ref="N6:O6"/>
    <mergeCell ref="L8:M8"/>
    <mergeCell ref="I7:K7"/>
    <mergeCell ref="N8:O8"/>
    <mergeCell ref="C8:D8"/>
    <mergeCell ref="B36:B42"/>
    <mergeCell ref="C36:E36"/>
    <mergeCell ref="F40:G40"/>
    <mergeCell ref="H40:I40"/>
    <mergeCell ref="C41:E41"/>
    <mergeCell ref="F41:G41"/>
    <mergeCell ref="H41:I41"/>
    <mergeCell ref="C42:E42"/>
    <mergeCell ref="G42:H42"/>
    <mergeCell ref="K36:O41"/>
    <mergeCell ref="C37:E37"/>
    <mergeCell ref="F37:G37"/>
    <mergeCell ref="H37:I37"/>
    <mergeCell ref="C38:E38"/>
    <mergeCell ref="F38:G38"/>
    <mergeCell ref="H38:I38"/>
    <mergeCell ref="C39:E39"/>
    <mergeCell ref="F39:G39"/>
    <mergeCell ref="H39:I39"/>
    <mergeCell ref="C40:E40"/>
    <mergeCell ref="F36:G36"/>
    <mergeCell ref="H36:I36"/>
    <mergeCell ref="J43:K43"/>
    <mergeCell ref="P45:Q45"/>
    <mergeCell ref="B46:B54"/>
    <mergeCell ref="F46:G46"/>
    <mergeCell ref="H46:I46"/>
    <mergeCell ref="F47:G47"/>
    <mergeCell ref="H47:I47"/>
    <mergeCell ref="F48:G48"/>
    <mergeCell ref="H48:I48"/>
    <mergeCell ref="F49:G49"/>
    <mergeCell ref="F52:G52"/>
    <mergeCell ref="H52:I52"/>
    <mergeCell ref="J52:K52"/>
    <mergeCell ref="O52:Q52"/>
    <mergeCell ref="F53:G53"/>
    <mergeCell ref="H53:I53"/>
    <mergeCell ref="H49:I49"/>
    <mergeCell ref="J49:L49"/>
    <mergeCell ref="F50:G50"/>
    <mergeCell ref="H50:I50"/>
    <mergeCell ref="F51:G51"/>
    <mergeCell ref="H51:I51"/>
    <mergeCell ref="J54:K54"/>
    <mergeCell ref="L54:M54"/>
    <mergeCell ref="A59:I59"/>
    <mergeCell ref="B60:B66"/>
    <mergeCell ref="F60:G60"/>
    <mergeCell ref="K60:O66"/>
    <mergeCell ref="F61:G61"/>
    <mergeCell ref="F62:G62"/>
    <mergeCell ref="A77:I77"/>
    <mergeCell ref="K68:O74"/>
    <mergeCell ref="H71:I71"/>
    <mergeCell ref="F72:G72"/>
    <mergeCell ref="H72:I72"/>
    <mergeCell ref="F73:G73"/>
    <mergeCell ref="H73:I73"/>
    <mergeCell ref="F63:G63"/>
    <mergeCell ref="F64:G64"/>
    <mergeCell ref="F65:G65"/>
    <mergeCell ref="A67:I67"/>
    <mergeCell ref="B68:B74"/>
    <mergeCell ref="F68:G68"/>
    <mergeCell ref="H68:I68"/>
    <mergeCell ref="F69:G69"/>
    <mergeCell ref="H69:I69"/>
    <mergeCell ref="F70:G70"/>
    <mergeCell ref="H70:I70"/>
    <mergeCell ref="K78:O84"/>
    <mergeCell ref="F79:G79"/>
    <mergeCell ref="H79:I79"/>
    <mergeCell ref="F80:G80"/>
    <mergeCell ref="H80:I80"/>
    <mergeCell ref="F81:G81"/>
    <mergeCell ref="F83:G83"/>
    <mergeCell ref="H83:I83"/>
    <mergeCell ref="H81:I81"/>
    <mergeCell ref="F78:G78"/>
    <mergeCell ref="K90:O97"/>
    <mergeCell ref="F91:G91"/>
    <mergeCell ref="H91:I91"/>
    <mergeCell ref="F92:G92"/>
    <mergeCell ref="H92:I92"/>
    <mergeCell ref="F93:G93"/>
    <mergeCell ref="H93:I93"/>
    <mergeCell ref="F94:G94"/>
    <mergeCell ref="H94:I94"/>
    <mergeCell ref="F96:G96"/>
    <mergeCell ref="F95:G95"/>
    <mergeCell ref="B90:B97"/>
    <mergeCell ref="F90:G90"/>
    <mergeCell ref="H90:I90"/>
    <mergeCell ref="H96:I96"/>
    <mergeCell ref="A100:I100"/>
    <mergeCell ref="H78:I78"/>
    <mergeCell ref="F82:G82"/>
    <mergeCell ref="H82:I82"/>
    <mergeCell ref="B78:B84"/>
    <mergeCell ref="A89:I89"/>
    <mergeCell ref="H103:I103"/>
    <mergeCell ref="C104:E104"/>
    <mergeCell ref="F104:G104"/>
    <mergeCell ref="C109:E109"/>
    <mergeCell ref="F109:G109"/>
    <mergeCell ref="H109:I109"/>
    <mergeCell ref="C107:E107"/>
    <mergeCell ref="F107:G107"/>
    <mergeCell ref="H107:I107"/>
    <mergeCell ref="C108:E108"/>
    <mergeCell ref="F108:G108"/>
    <mergeCell ref="H108:I108"/>
  </mergeCells>
  <dataValidations count="1">
    <dataValidation type="list" allowBlank="1" showInputMessage="1" showErrorMessage="1" sqref="N56 JJ56 TF56 ADB56 AMX56 AWT56 BGP56 BQL56 CAH56 CKD56 CTZ56 DDV56 DNR56 DXN56 EHJ56 ERF56 FBB56 FKX56 FUT56 GEP56 GOL56 GYH56 HID56 HRZ56 IBV56 ILR56 IVN56 JFJ56 JPF56 JZB56 KIX56 KST56 LCP56 LML56 LWH56 MGD56 MPZ56 MZV56 NJR56 NTN56 ODJ56 ONF56 OXB56 PGX56 PQT56 QAP56 QKL56 QUH56 RED56 RNZ56 RXV56 SHR56 SRN56 TBJ56 TLF56 TVB56 UEX56 UOT56 UYP56 VIL56 VSH56 WCD56 WLZ56 WVV56 N65600 JJ65600 TF65600 ADB65600 AMX65600 AWT65600 BGP65600 BQL65600 CAH65600 CKD65600 CTZ65600 DDV65600 DNR65600 DXN65600 EHJ65600 ERF65600 FBB65600 FKX65600 FUT65600 GEP65600 GOL65600 GYH65600 HID65600 HRZ65600 IBV65600 ILR65600 IVN65600 JFJ65600 JPF65600 JZB65600 KIX65600 KST65600 LCP65600 LML65600 LWH65600 MGD65600 MPZ65600 MZV65600 NJR65600 NTN65600 ODJ65600 ONF65600 OXB65600 PGX65600 PQT65600 QAP65600 QKL65600 QUH65600 RED65600 RNZ65600 RXV65600 SHR65600 SRN65600 TBJ65600 TLF65600 TVB65600 UEX65600 UOT65600 UYP65600 VIL65600 VSH65600 WCD65600 WLZ65600 WVV65600 N131136 JJ131136 TF131136 ADB131136 AMX131136 AWT131136 BGP131136 BQL131136 CAH131136 CKD131136 CTZ131136 DDV131136 DNR131136 DXN131136 EHJ131136 ERF131136 FBB131136 FKX131136 FUT131136 GEP131136 GOL131136 GYH131136 HID131136 HRZ131136 IBV131136 ILR131136 IVN131136 JFJ131136 JPF131136 JZB131136 KIX131136 KST131136 LCP131136 LML131136 LWH131136 MGD131136 MPZ131136 MZV131136 NJR131136 NTN131136 ODJ131136 ONF131136 OXB131136 PGX131136 PQT131136 QAP131136 QKL131136 QUH131136 RED131136 RNZ131136 RXV131136 SHR131136 SRN131136 TBJ131136 TLF131136 TVB131136 UEX131136 UOT131136 UYP131136 VIL131136 VSH131136 WCD131136 WLZ131136 WVV131136 N196672 JJ196672 TF196672 ADB196672 AMX196672 AWT196672 BGP196672 BQL196672 CAH196672 CKD196672 CTZ196672 DDV196672 DNR196672 DXN196672 EHJ196672 ERF196672 FBB196672 FKX196672 FUT196672 GEP196672 GOL196672 GYH196672 HID196672 HRZ196672 IBV196672 ILR196672 IVN196672 JFJ196672 JPF196672 JZB196672 KIX196672 KST196672 LCP196672 LML196672 LWH196672 MGD196672 MPZ196672 MZV196672 NJR196672 NTN196672 ODJ196672 ONF196672 OXB196672 PGX196672 PQT196672 QAP196672 QKL196672 QUH196672 RED196672 RNZ196672 RXV196672 SHR196672 SRN196672 TBJ196672 TLF196672 TVB196672 UEX196672 UOT196672 UYP196672 VIL196672 VSH196672 WCD196672 WLZ196672 WVV196672 N262208 JJ262208 TF262208 ADB262208 AMX262208 AWT262208 BGP262208 BQL262208 CAH262208 CKD262208 CTZ262208 DDV262208 DNR262208 DXN262208 EHJ262208 ERF262208 FBB262208 FKX262208 FUT262208 GEP262208 GOL262208 GYH262208 HID262208 HRZ262208 IBV262208 ILR262208 IVN262208 JFJ262208 JPF262208 JZB262208 KIX262208 KST262208 LCP262208 LML262208 LWH262208 MGD262208 MPZ262208 MZV262208 NJR262208 NTN262208 ODJ262208 ONF262208 OXB262208 PGX262208 PQT262208 QAP262208 QKL262208 QUH262208 RED262208 RNZ262208 RXV262208 SHR262208 SRN262208 TBJ262208 TLF262208 TVB262208 UEX262208 UOT262208 UYP262208 VIL262208 VSH262208 WCD262208 WLZ262208 WVV262208 N327744 JJ327744 TF327744 ADB327744 AMX327744 AWT327744 BGP327744 BQL327744 CAH327744 CKD327744 CTZ327744 DDV327744 DNR327744 DXN327744 EHJ327744 ERF327744 FBB327744 FKX327744 FUT327744 GEP327744 GOL327744 GYH327744 HID327744 HRZ327744 IBV327744 ILR327744 IVN327744 JFJ327744 JPF327744 JZB327744 KIX327744 KST327744 LCP327744 LML327744 LWH327744 MGD327744 MPZ327744 MZV327744 NJR327744 NTN327744 ODJ327744 ONF327744 OXB327744 PGX327744 PQT327744 QAP327744 QKL327744 QUH327744 RED327744 RNZ327744 RXV327744 SHR327744 SRN327744 TBJ327744 TLF327744 TVB327744 UEX327744 UOT327744 UYP327744 VIL327744 VSH327744 WCD327744 WLZ327744 WVV327744 N393280 JJ393280 TF393280 ADB393280 AMX393280 AWT393280 BGP393280 BQL393280 CAH393280 CKD393280 CTZ393280 DDV393280 DNR393280 DXN393280 EHJ393280 ERF393280 FBB393280 FKX393280 FUT393280 GEP393280 GOL393280 GYH393280 HID393280 HRZ393280 IBV393280 ILR393280 IVN393280 JFJ393280 JPF393280 JZB393280 KIX393280 KST393280 LCP393280 LML393280 LWH393280 MGD393280 MPZ393280 MZV393280 NJR393280 NTN393280 ODJ393280 ONF393280 OXB393280 PGX393280 PQT393280 QAP393280 QKL393280 QUH393280 RED393280 RNZ393280 RXV393280 SHR393280 SRN393280 TBJ393280 TLF393280 TVB393280 UEX393280 UOT393280 UYP393280 VIL393280 VSH393280 WCD393280 WLZ393280 WVV393280 N458816 JJ458816 TF458816 ADB458816 AMX458816 AWT458816 BGP458816 BQL458816 CAH458816 CKD458816 CTZ458816 DDV458816 DNR458816 DXN458816 EHJ458816 ERF458816 FBB458816 FKX458816 FUT458816 GEP458816 GOL458816 GYH458816 HID458816 HRZ458816 IBV458816 ILR458816 IVN458816 JFJ458816 JPF458816 JZB458816 KIX458816 KST458816 LCP458816 LML458816 LWH458816 MGD458816 MPZ458816 MZV458816 NJR458816 NTN458816 ODJ458816 ONF458816 OXB458816 PGX458816 PQT458816 QAP458816 QKL458816 QUH458816 RED458816 RNZ458816 RXV458816 SHR458816 SRN458816 TBJ458816 TLF458816 TVB458816 UEX458816 UOT458816 UYP458816 VIL458816 VSH458816 WCD458816 WLZ458816 WVV458816 N524352 JJ524352 TF524352 ADB524352 AMX524352 AWT524352 BGP524352 BQL524352 CAH524352 CKD524352 CTZ524352 DDV524352 DNR524352 DXN524352 EHJ524352 ERF524352 FBB524352 FKX524352 FUT524352 GEP524352 GOL524352 GYH524352 HID524352 HRZ524352 IBV524352 ILR524352 IVN524352 JFJ524352 JPF524352 JZB524352 KIX524352 KST524352 LCP524352 LML524352 LWH524352 MGD524352 MPZ524352 MZV524352 NJR524352 NTN524352 ODJ524352 ONF524352 OXB524352 PGX524352 PQT524352 QAP524352 QKL524352 QUH524352 RED524352 RNZ524352 RXV524352 SHR524352 SRN524352 TBJ524352 TLF524352 TVB524352 UEX524352 UOT524352 UYP524352 VIL524352 VSH524352 WCD524352 WLZ524352 WVV524352 N589888 JJ589888 TF589888 ADB589888 AMX589888 AWT589888 BGP589888 BQL589888 CAH589888 CKD589888 CTZ589888 DDV589888 DNR589888 DXN589888 EHJ589888 ERF589888 FBB589888 FKX589888 FUT589888 GEP589888 GOL589888 GYH589888 HID589888 HRZ589888 IBV589888 ILR589888 IVN589888 JFJ589888 JPF589888 JZB589888 KIX589888 KST589888 LCP589888 LML589888 LWH589888 MGD589888 MPZ589888 MZV589888 NJR589888 NTN589888 ODJ589888 ONF589888 OXB589888 PGX589888 PQT589888 QAP589888 QKL589888 QUH589888 RED589888 RNZ589888 RXV589888 SHR589888 SRN589888 TBJ589888 TLF589888 TVB589888 UEX589888 UOT589888 UYP589888 VIL589888 VSH589888 WCD589888 WLZ589888 WVV589888 N655424 JJ655424 TF655424 ADB655424 AMX655424 AWT655424 BGP655424 BQL655424 CAH655424 CKD655424 CTZ655424 DDV655424 DNR655424 DXN655424 EHJ655424 ERF655424 FBB655424 FKX655424 FUT655424 GEP655424 GOL655424 GYH655424 HID655424 HRZ655424 IBV655424 ILR655424 IVN655424 JFJ655424 JPF655424 JZB655424 KIX655424 KST655424 LCP655424 LML655424 LWH655424 MGD655424 MPZ655424 MZV655424 NJR655424 NTN655424 ODJ655424 ONF655424 OXB655424 PGX655424 PQT655424 QAP655424 QKL655424 QUH655424 RED655424 RNZ655424 RXV655424 SHR655424 SRN655424 TBJ655424 TLF655424 TVB655424 UEX655424 UOT655424 UYP655424 VIL655424 VSH655424 WCD655424 WLZ655424 WVV655424 N720960 JJ720960 TF720960 ADB720960 AMX720960 AWT720960 BGP720960 BQL720960 CAH720960 CKD720960 CTZ720960 DDV720960 DNR720960 DXN720960 EHJ720960 ERF720960 FBB720960 FKX720960 FUT720960 GEP720960 GOL720960 GYH720960 HID720960 HRZ720960 IBV720960 ILR720960 IVN720960 JFJ720960 JPF720960 JZB720960 KIX720960 KST720960 LCP720960 LML720960 LWH720960 MGD720960 MPZ720960 MZV720960 NJR720960 NTN720960 ODJ720960 ONF720960 OXB720960 PGX720960 PQT720960 QAP720960 QKL720960 QUH720960 RED720960 RNZ720960 RXV720960 SHR720960 SRN720960 TBJ720960 TLF720960 TVB720960 UEX720960 UOT720960 UYP720960 VIL720960 VSH720960 WCD720960 WLZ720960 WVV720960 N786496 JJ786496 TF786496 ADB786496 AMX786496 AWT786496 BGP786496 BQL786496 CAH786496 CKD786496 CTZ786496 DDV786496 DNR786496 DXN786496 EHJ786496 ERF786496 FBB786496 FKX786496 FUT786496 GEP786496 GOL786496 GYH786496 HID786496 HRZ786496 IBV786496 ILR786496 IVN786496 JFJ786496 JPF786496 JZB786496 KIX786496 KST786496 LCP786496 LML786496 LWH786496 MGD786496 MPZ786496 MZV786496 NJR786496 NTN786496 ODJ786496 ONF786496 OXB786496 PGX786496 PQT786496 QAP786496 QKL786496 QUH786496 RED786496 RNZ786496 RXV786496 SHR786496 SRN786496 TBJ786496 TLF786496 TVB786496 UEX786496 UOT786496 UYP786496 VIL786496 VSH786496 WCD786496 WLZ786496 WVV786496 N852032 JJ852032 TF852032 ADB852032 AMX852032 AWT852032 BGP852032 BQL852032 CAH852032 CKD852032 CTZ852032 DDV852032 DNR852032 DXN852032 EHJ852032 ERF852032 FBB852032 FKX852032 FUT852032 GEP852032 GOL852032 GYH852032 HID852032 HRZ852032 IBV852032 ILR852032 IVN852032 JFJ852032 JPF852032 JZB852032 KIX852032 KST852032 LCP852032 LML852032 LWH852032 MGD852032 MPZ852032 MZV852032 NJR852032 NTN852032 ODJ852032 ONF852032 OXB852032 PGX852032 PQT852032 QAP852032 QKL852032 QUH852032 RED852032 RNZ852032 RXV852032 SHR852032 SRN852032 TBJ852032 TLF852032 TVB852032 UEX852032 UOT852032 UYP852032 VIL852032 VSH852032 WCD852032 WLZ852032 WVV852032 N917568 JJ917568 TF917568 ADB917568 AMX917568 AWT917568 BGP917568 BQL917568 CAH917568 CKD917568 CTZ917568 DDV917568 DNR917568 DXN917568 EHJ917568 ERF917568 FBB917568 FKX917568 FUT917568 GEP917568 GOL917568 GYH917568 HID917568 HRZ917568 IBV917568 ILR917568 IVN917568 JFJ917568 JPF917568 JZB917568 KIX917568 KST917568 LCP917568 LML917568 LWH917568 MGD917568 MPZ917568 MZV917568 NJR917568 NTN917568 ODJ917568 ONF917568 OXB917568 PGX917568 PQT917568 QAP917568 QKL917568 QUH917568 RED917568 RNZ917568 RXV917568 SHR917568 SRN917568 TBJ917568 TLF917568 TVB917568 UEX917568 UOT917568 UYP917568 VIL917568 VSH917568 WCD917568 WLZ917568 WVV917568 N983104 JJ983104 TF983104 ADB983104 AMX983104 AWT983104 BGP983104 BQL983104 CAH983104 CKD983104 CTZ983104 DDV983104 DNR983104 DXN983104 EHJ983104 ERF983104 FBB983104 FKX983104 FUT983104 GEP983104 GOL983104 GYH983104 HID983104 HRZ983104 IBV983104 ILR983104 IVN983104 JFJ983104 JPF983104 JZB983104 KIX983104 KST983104 LCP983104 LML983104 LWH983104 MGD983104 MPZ983104 MZV983104 NJR983104 NTN983104 ODJ983104 ONF983104 OXB983104 PGX983104 PQT983104 QAP983104 QKL983104 QUH983104 RED983104 RNZ983104 RXV983104 SHR983104 SRN983104 TBJ983104 TLF983104 TVB983104 UEX983104 UOT983104 UYP983104 VIL983104 VSH983104 WCD983104 WLZ983104 WVV983104" xr:uid="{00000000-0002-0000-0100-000000000000}">
      <formula1>#REF!</formula1>
    </dataValidation>
  </dataValidations>
  <pageMargins left="0.25" right="0.25" top="0.75" bottom="0.75" header="0.3" footer="0.3"/>
  <pageSetup scale="57" orientation="portrait" r:id="rId1"/>
  <headerFooter alignWithMargins="0"/>
  <rowBreaks count="1" manualBreakCount="1">
    <brk id="54" max="14" man="1"/>
  </rowBreaks>
  <colBreaks count="1" manualBreakCount="1">
    <brk id="9" max="1048575" man="1"/>
  </colBreaks>
  <drawing r:id="rId2"/>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bad6f6f2-a951-4904-b531-92e1207fc7a5}" enabled="1" method="Standard" siteId="{b7be7686-6f97-4db7-9081-a23cf09a96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DST-2 -XHP Packer</vt:lpstr>
      <vt:lpstr>DST-2  Calc 17.2 ppg</vt:lpstr>
      <vt:lpstr>'DST-2  Calc 17.2 ppg'!Print_Area</vt:lpstr>
      <vt:lpstr>'DST-2 -XHP Packer'!Print_Area</vt:lpstr>
    </vt:vector>
  </TitlesOfParts>
  <Company>Halliburton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dc:creator>
  <cp:lastModifiedBy>Avinash Negi</cp:lastModifiedBy>
  <cp:lastPrinted>2023-05-01T18:06:47Z</cp:lastPrinted>
  <dcterms:created xsi:type="dcterms:W3CDTF">2019-11-19T05:04:11Z</dcterms:created>
  <dcterms:modified xsi:type="dcterms:W3CDTF">2023-08-12T11:43:30Z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d6f6f2-a951-4904-b531-92e1207fc7a5_Enabled">
    <vt:lpwstr>true</vt:lpwstr>
  </property>
  <property fmtid="{D5CDD505-2E9C-101B-9397-08002B2CF9AE}" pid="3" name="MSIP_Label_bad6f6f2-a951-4904-b531-92e1207fc7a5_SetDate">
    <vt:lpwstr>2021-11-22T07:33:45Z</vt:lpwstr>
  </property>
  <property fmtid="{D5CDD505-2E9C-101B-9397-08002B2CF9AE}" pid="4" name="MSIP_Label_bad6f6f2-a951-4904-b531-92e1207fc7a5_Method">
    <vt:lpwstr>Standard</vt:lpwstr>
  </property>
  <property fmtid="{D5CDD505-2E9C-101B-9397-08002B2CF9AE}" pid="5" name="MSIP_Label_bad6f6f2-a951-4904-b531-92e1207fc7a5_Name">
    <vt:lpwstr>No Restrictions - Internal</vt:lpwstr>
  </property>
  <property fmtid="{D5CDD505-2E9C-101B-9397-08002B2CF9AE}" pid="6" name="MSIP_Label_bad6f6f2-a951-4904-b531-92e1207fc7a5_SiteId">
    <vt:lpwstr>b7be7686-6f97-4db7-9081-a23cf09a96b5</vt:lpwstr>
  </property>
  <property fmtid="{D5CDD505-2E9C-101B-9397-08002B2CF9AE}" pid="7" name="MSIP_Label_bad6f6f2-a951-4904-b531-92e1207fc7a5_ActionId">
    <vt:lpwstr>99e7b78a-0e38-4751-b109-fa809d2af1f3</vt:lpwstr>
  </property>
  <property fmtid="{D5CDD505-2E9C-101B-9397-08002B2CF9AE}" pid="8" name="MSIP_Label_bad6f6f2-a951-4904-b531-92e1207fc7a5_ContentBits">
    <vt:lpwstr>0</vt:lpwstr>
  </property>
</Properties>
</file>